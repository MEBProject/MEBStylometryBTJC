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hullacuk-my.sharepoint.com/personal/c_a_johnson_hull_ac_uk/Documents/LaptopWorkingFiles/Braddon Novels/Latest-28-07-25/"/>
    </mc:Choice>
  </mc:AlternateContent>
  <xr:revisionPtr revIDLastSave="62" documentId="8_{7B296588-154F-4A13-95A3-4E31A240943C}" xr6:coauthVersionLast="47" xr6:coauthVersionMax="47" xr10:uidLastSave="{CBE3F921-FBC5-472F-B3F9-3FD86C281F61}"/>
  <bookViews>
    <workbookView xWindow="-120" yWindow="-120" windowWidth="29040" windowHeight="15720" xr2:uid="{AD56077B-3A98-4D48-A969-6BA339A68A00}"/>
  </bookViews>
  <sheets>
    <sheet name="cosine_distance1000MFW" sheetId="1" r:id="rId1"/>
    <sheet name="Readm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U19" i="1" l="1"/>
  <c r="BU18" i="1"/>
  <c r="BU17" i="1"/>
  <c r="BU16" i="1"/>
  <c r="BU15" i="1"/>
  <c r="BU14" i="1"/>
  <c r="BU13" i="1"/>
  <c r="BU12" i="1"/>
  <c r="BU11" i="1"/>
  <c r="BU10" i="1"/>
  <c r="BU9" i="1"/>
  <c r="BU8" i="1"/>
  <c r="BU7" i="1"/>
  <c r="BU6" i="1"/>
  <c r="BU5" i="1"/>
  <c r="BU4" i="1"/>
  <c r="BU3" i="1"/>
  <c r="BR19" i="1"/>
  <c r="BR18" i="1"/>
  <c r="BR17" i="1"/>
  <c r="BR16" i="1"/>
  <c r="BR15" i="1"/>
  <c r="BR14" i="1"/>
  <c r="BR13" i="1"/>
  <c r="BR12" i="1"/>
  <c r="BR11" i="1"/>
  <c r="BR10" i="1"/>
  <c r="BR9" i="1"/>
  <c r="BR8" i="1"/>
  <c r="BR7" i="1"/>
  <c r="BR6" i="1"/>
  <c r="BR5" i="1"/>
  <c r="BR4" i="1"/>
  <c r="BR3" i="1"/>
  <c r="BO19" i="1"/>
  <c r="BO18" i="1"/>
  <c r="BO17" i="1"/>
  <c r="BO16" i="1"/>
  <c r="BO15" i="1"/>
  <c r="BO14" i="1"/>
  <c r="BO13" i="1"/>
  <c r="BO12" i="1"/>
  <c r="BO11" i="1"/>
  <c r="BO10" i="1"/>
  <c r="BO9" i="1"/>
  <c r="BO8" i="1"/>
  <c r="BO7" i="1"/>
  <c r="BO6" i="1"/>
  <c r="BO5" i="1"/>
  <c r="BO4" i="1"/>
  <c r="BO3" i="1"/>
  <c r="BL19" i="1"/>
  <c r="BL18" i="1"/>
  <c r="BL17" i="1"/>
  <c r="BL16" i="1"/>
  <c r="BL15" i="1"/>
  <c r="BL14" i="1"/>
  <c r="BL13" i="1"/>
  <c r="BL12" i="1"/>
  <c r="BL11" i="1"/>
  <c r="BL10" i="1"/>
  <c r="BL9" i="1"/>
  <c r="BL8" i="1"/>
  <c r="BL7" i="1"/>
  <c r="BL6" i="1"/>
  <c r="BL5" i="1"/>
  <c r="BL4" i="1"/>
  <c r="BL3" i="1"/>
  <c r="BI19" i="1"/>
  <c r="BI18" i="1"/>
  <c r="BI17" i="1"/>
  <c r="BI16" i="1"/>
  <c r="BI15" i="1"/>
  <c r="BI14" i="1"/>
  <c r="BI13" i="1"/>
  <c r="BI12" i="1"/>
  <c r="BI11" i="1"/>
  <c r="BI10" i="1"/>
  <c r="BI9" i="1"/>
  <c r="BI8" i="1"/>
  <c r="BI7" i="1"/>
  <c r="BI6" i="1"/>
  <c r="BI5" i="1"/>
  <c r="BI4" i="1"/>
  <c r="BI3" i="1"/>
  <c r="BF19" i="1"/>
  <c r="BF18" i="1"/>
  <c r="BF17" i="1"/>
  <c r="BF16" i="1"/>
  <c r="BF15" i="1"/>
  <c r="BF14" i="1"/>
  <c r="BF13" i="1"/>
  <c r="BF12" i="1"/>
  <c r="BF11" i="1"/>
  <c r="BF10" i="1"/>
  <c r="BF9" i="1"/>
  <c r="BF8" i="1"/>
  <c r="BF7" i="1"/>
  <c r="BF6" i="1"/>
  <c r="BF5" i="1"/>
  <c r="BF4" i="1"/>
  <c r="BF3" i="1"/>
  <c r="BC19" i="1"/>
  <c r="BC18" i="1"/>
  <c r="BC17" i="1"/>
  <c r="BC16" i="1"/>
  <c r="BC15" i="1"/>
  <c r="BC14" i="1"/>
  <c r="BC13" i="1"/>
  <c r="BC12" i="1"/>
  <c r="BC11" i="1"/>
  <c r="BC10" i="1"/>
  <c r="BC9" i="1"/>
  <c r="BC8" i="1"/>
  <c r="BC7" i="1"/>
  <c r="BC6" i="1"/>
  <c r="BC5" i="1"/>
  <c r="BC4" i="1"/>
  <c r="BC3" i="1"/>
  <c r="AZ19" i="1"/>
  <c r="AZ18" i="1"/>
  <c r="AZ17" i="1"/>
  <c r="AZ16" i="1"/>
  <c r="AZ15" i="1"/>
  <c r="AZ14" i="1"/>
  <c r="AZ13" i="1"/>
  <c r="AZ12" i="1"/>
  <c r="AZ11" i="1"/>
  <c r="AZ10" i="1"/>
  <c r="AZ9" i="1"/>
  <c r="AZ8" i="1"/>
  <c r="AZ7" i="1"/>
  <c r="AZ6" i="1"/>
  <c r="AZ5" i="1"/>
  <c r="AZ4" i="1"/>
  <c r="AZ3" i="1"/>
  <c r="AW19" i="1"/>
  <c r="AW18" i="1"/>
  <c r="AW17" i="1"/>
  <c r="AW16" i="1"/>
  <c r="AW15" i="1"/>
  <c r="AW14" i="1"/>
  <c r="AW13" i="1"/>
  <c r="AW12" i="1"/>
  <c r="AW11" i="1"/>
  <c r="AW10" i="1"/>
  <c r="AW9" i="1"/>
  <c r="AW8" i="1"/>
  <c r="AW7" i="1"/>
  <c r="AW6" i="1"/>
  <c r="AW5" i="1"/>
  <c r="AW4" i="1"/>
  <c r="AW3" i="1"/>
  <c r="AT19" i="1"/>
  <c r="AT18" i="1"/>
  <c r="AT17" i="1"/>
  <c r="AT16" i="1"/>
  <c r="AT15" i="1"/>
  <c r="AT14" i="1"/>
  <c r="AT13" i="1"/>
  <c r="AT12" i="1"/>
  <c r="AT11" i="1"/>
  <c r="AT10" i="1"/>
  <c r="AT9" i="1"/>
  <c r="AT8" i="1"/>
  <c r="AT7" i="1"/>
  <c r="AT6" i="1"/>
  <c r="AT5" i="1"/>
  <c r="AT4" i="1"/>
  <c r="AT3" i="1"/>
  <c r="AQ19" i="1"/>
  <c r="AQ18" i="1"/>
  <c r="AQ17" i="1"/>
  <c r="AQ16" i="1"/>
  <c r="AQ15" i="1"/>
  <c r="AQ14" i="1"/>
  <c r="AQ13" i="1"/>
  <c r="AQ12" i="1"/>
  <c r="AQ11" i="1"/>
  <c r="AQ10" i="1"/>
  <c r="AQ9" i="1"/>
  <c r="AQ8" i="1"/>
  <c r="AQ7" i="1"/>
  <c r="AQ6" i="1"/>
  <c r="AQ5" i="1"/>
  <c r="AQ4" i="1"/>
  <c r="AQ3" i="1"/>
  <c r="AN19" i="1"/>
  <c r="AN18" i="1"/>
  <c r="AN17" i="1"/>
  <c r="AN16" i="1"/>
  <c r="AN15" i="1"/>
  <c r="AN14" i="1"/>
  <c r="AN13" i="1"/>
  <c r="AN12" i="1"/>
  <c r="AN11" i="1"/>
  <c r="AN10" i="1"/>
  <c r="AN9" i="1"/>
  <c r="AN8" i="1"/>
  <c r="AN7" i="1"/>
  <c r="AN6" i="1"/>
  <c r="AN5" i="1"/>
  <c r="AN4" i="1"/>
  <c r="AN3" i="1"/>
  <c r="AK19" i="1"/>
  <c r="AK18" i="1"/>
  <c r="AK17" i="1"/>
  <c r="AK16" i="1"/>
  <c r="AK15" i="1"/>
  <c r="AK14" i="1"/>
  <c r="AK13" i="1"/>
  <c r="AK12" i="1"/>
  <c r="AK11" i="1"/>
  <c r="AK10" i="1"/>
  <c r="AK9" i="1"/>
  <c r="AK8" i="1"/>
  <c r="AK7" i="1"/>
  <c r="AK6" i="1"/>
  <c r="AK5" i="1"/>
  <c r="AK4" i="1"/>
  <c r="AK3" i="1"/>
  <c r="AH19" i="1"/>
  <c r="AH18" i="1"/>
  <c r="AH17" i="1"/>
  <c r="AH16" i="1"/>
  <c r="AH15" i="1"/>
  <c r="AH14" i="1"/>
  <c r="AH13" i="1"/>
  <c r="AH12" i="1"/>
  <c r="AH11" i="1"/>
  <c r="AH10" i="1"/>
  <c r="AH9" i="1"/>
  <c r="AH8" i="1"/>
  <c r="AH7" i="1"/>
  <c r="AH6" i="1"/>
  <c r="AH5" i="1"/>
  <c r="AH4" i="1"/>
  <c r="AH3" i="1"/>
  <c r="AE19" i="1"/>
  <c r="AE18" i="1"/>
  <c r="AE17" i="1"/>
  <c r="AE16" i="1"/>
  <c r="AE15" i="1"/>
  <c r="AE14" i="1"/>
  <c r="AE13" i="1"/>
  <c r="AE12" i="1"/>
  <c r="AE11" i="1"/>
  <c r="AE10" i="1"/>
  <c r="AE9" i="1"/>
  <c r="AE8" i="1"/>
  <c r="AE7" i="1"/>
  <c r="AE6" i="1"/>
  <c r="AE5" i="1"/>
  <c r="AE4" i="1"/>
  <c r="AE3" i="1"/>
  <c r="AB19" i="1"/>
  <c r="AB18" i="1"/>
  <c r="AB17" i="1"/>
  <c r="AB16" i="1"/>
  <c r="AB15" i="1"/>
  <c r="AB14" i="1"/>
  <c r="AB13" i="1"/>
  <c r="AB12" i="1"/>
  <c r="AB11" i="1"/>
  <c r="AB10" i="1"/>
  <c r="AB9" i="1"/>
  <c r="AB8" i="1"/>
  <c r="AB7" i="1"/>
  <c r="AB6" i="1"/>
  <c r="AB5" i="1"/>
  <c r="AB4" i="1"/>
  <c r="AB3" i="1"/>
  <c r="Y19" i="1"/>
  <c r="Y18" i="1"/>
  <c r="Y17" i="1"/>
  <c r="Y16" i="1"/>
  <c r="Y15" i="1"/>
  <c r="Y14" i="1"/>
  <c r="Y13" i="1"/>
  <c r="Y12" i="1"/>
  <c r="Y11" i="1"/>
  <c r="Y10" i="1"/>
  <c r="Y9" i="1"/>
  <c r="Y8" i="1"/>
  <c r="Y7" i="1"/>
  <c r="Y6" i="1"/>
  <c r="Y5" i="1"/>
  <c r="Y4" i="1"/>
  <c r="Y3" i="1"/>
  <c r="V19" i="1"/>
  <c r="V18" i="1"/>
  <c r="V17" i="1"/>
  <c r="V16" i="1"/>
  <c r="V15" i="1"/>
  <c r="V14" i="1"/>
  <c r="V13" i="1"/>
  <c r="V12" i="1"/>
  <c r="V11" i="1"/>
  <c r="V10" i="1"/>
  <c r="V9" i="1"/>
  <c r="V8" i="1"/>
  <c r="V7" i="1"/>
  <c r="V6" i="1"/>
  <c r="V5" i="1"/>
  <c r="V4" i="1"/>
  <c r="V3" i="1"/>
  <c r="S19" i="1"/>
  <c r="S18" i="1"/>
  <c r="S17" i="1"/>
  <c r="S16" i="1"/>
  <c r="S15" i="1"/>
  <c r="S14" i="1"/>
  <c r="S13" i="1"/>
  <c r="S12" i="1"/>
  <c r="S11" i="1"/>
  <c r="S10" i="1"/>
  <c r="S9" i="1"/>
  <c r="S8" i="1"/>
  <c r="S7" i="1"/>
  <c r="S6" i="1"/>
  <c r="S5" i="1"/>
  <c r="S4" i="1"/>
  <c r="S3" i="1"/>
  <c r="P19" i="1"/>
  <c r="P18" i="1"/>
  <c r="P17" i="1"/>
  <c r="P16" i="1"/>
  <c r="P15" i="1"/>
  <c r="P14" i="1"/>
  <c r="P13" i="1"/>
  <c r="P12" i="1"/>
  <c r="P11" i="1"/>
  <c r="P10" i="1"/>
  <c r="P9" i="1"/>
  <c r="P8" i="1"/>
  <c r="P7" i="1"/>
  <c r="P6" i="1"/>
  <c r="P5" i="1"/>
  <c r="P4" i="1"/>
  <c r="P3" i="1"/>
  <c r="M19" i="1"/>
  <c r="M18" i="1"/>
  <c r="M17" i="1"/>
  <c r="M16" i="1"/>
  <c r="M15" i="1"/>
  <c r="M14" i="1"/>
  <c r="M13" i="1"/>
  <c r="M12" i="1"/>
  <c r="M11" i="1"/>
  <c r="M10" i="1"/>
  <c r="M9" i="1"/>
  <c r="M8" i="1"/>
  <c r="M7" i="1"/>
  <c r="M6" i="1"/>
  <c r="M5" i="1"/>
  <c r="M4" i="1"/>
  <c r="M3" i="1"/>
  <c r="J19" i="1"/>
  <c r="J18" i="1"/>
  <c r="J17" i="1"/>
  <c r="J16" i="1"/>
  <c r="J15" i="1"/>
  <c r="J14" i="1"/>
  <c r="J13" i="1"/>
  <c r="J12" i="1"/>
  <c r="J11" i="1"/>
  <c r="J10" i="1"/>
  <c r="J9" i="1"/>
  <c r="J8" i="1"/>
  <c r="J7" i="1"/>
  <c r="J6" i="1"/>
  <c r="J5" i="1"/>
  <c r="J4" i="1"/>
  <c r="J3" i="1"/>
  <c r="G19" i="1"/>
  <c r="G18" i="1"/>
  <c r="G17" i="1"/>
  <c r="G16" i="1"/>
  <c r="G15" i="1"/>
  <c r="G14" i="1"/>
  <c r="G13" i="1"/>
  <c r="G12" i="1"/>
  <c r="G11" i="1"/>
  <c r="G10" i="1"/>
  <c r="G9" i="1"/>
  <c r="G8" i="1"/>
  <c r="G7" i="1"/>
  <c r="G6" i="1"/>
  <c r="G5" i="1"/>
  <c r="G4" i="1"/>
  <c r="G3" i="1"/>
  <c r="D19" i="1"/>
  <c r="D18" i="1"/>
  <c r="D17" i="1"/>
  <c r="D16" i="1"/>
  <c r="D15" i="1"/>
  <c r="D14" i="1"/>
  <c r="D13" i="1"/>
  <c r="D12" i="1"/>
  <c r="D11" i="1"/>
  <c r="D10" i="1"/>
  <c r="D9" i="1"/>
  <c r="D8" i="1"/>
  <c r="D7" i="1"/>
  <c r="D6" i="1"/>
  <c r="D5" i="1"/>
  <c r="D4" i="1"/>
  <c r="D3" i="1"/>
  <c r="G63" i="1" l="1"/>
  <c r="G58" i="1"/>
  <c r="G61" i="1"/>
  <c r="G60" i="1"/>
  <c r="G62" i="1"/>
  <c r="G53" i="1"/>
  <c r="G64" i="1"/>
  <c r="G54" i="1"/>
  <c r="G55" i="1"/>
  <c r="G56" i="1"/>
  <c r="G57" i="1"/>
  <c r="G59" i="1"/>
  <c r="G52" i="1"/>
  <c r="G49" i="1"/>
  <c r="G51" i="1"/>
  <c r="G48" i="1"/>
  <c r="G50" i="1"/>
</calcChain>
</file>

<file path=xl/sharedStrings.xml><?xml version="1.0" encoding="utf-8"?>
<sst xmlns="http://schemas.openxmlformats.org/spreadsheetml/2006/main" count="98" uniqueCount="75">
  <si>
    <t xml:space="preserve"> </t>
  </si>
  <si>
    <t>Addison</t>
  </si>
  <si>
    <t xml:space="preserve"> "Addison"</t>
  </si>
  <si>
    <t xml:space="preserve"> "Aide"</t>
  </si>
  <si>
    <t xml:space="preserve"> "Braddon"</t>
  </si>
  <si>
    <t xml:space="preserve"> "DoraRussell"</t>
  </si>
  <si>
    <t xml:space="preserve"> "EBL"</t>
  </si>
  <si>
    <t xml:space="preserve"> "EmmaRobinson"</t>
  </si>
  <si>
    <t xml:space="preserve"> "Fenn"</t>
  </si>
  <si>
    <t xml:space="preserve"> "Fitzgerald"</t>
  </si>
  <si>
    <t xml:space="preserve"> "Friswell"</t>
  </si>
  <si>
    <t xml:space="preserve"> "Harwood"</t>
  </si>
  <si>
    <t xml:space="preserve"> "Hatton"</t>
  </si>
  <si>
    <t xml:space="preserve"> "Hoey"</t>
  </si>
  <si>
    <t xml:space="preserve"> "Macquoid"</t>
  </si>
  <si>
    <t xml:space="preserve"> "McCarthy"</t>
  </si>
  <si>
    <t xml:space="preserve"> "MortimerCollins"</t>
  </si>
  <si>
    <t xml:space="preserve"> "Riddell"</t>
  </si>
  <si>
    <t xml:space="preserve"> "Ross"</t>
  </si>
  <si>
    <t xml:space="preserve"> "Sala"</t>
  </si>
  <si>
    <t xml:space="preserve"> "StJohn"</t>
  </si>
  <si>
    <t xml:space="preserve"> "Thomas"</t>
  </si>
  <si>
    <t xml:space="preserve"> "Thornbury"</t>
  </si>
  <si>
    <t xml:space="preserve"> "Williams"</t>
  </si>
  <si>
    <t xml:space="preserve"> "WSHayward"</t>
  </si>
  <si>
    <t xml:space="preserve"> "Yates"</t>
  </si>
  <si>
    <t>Addison_Curtain</t>
  </si>
  <si>
    <t>Aide_State</t>
  </si>
  <si>
    <t>Braddon_Audleys</t>
  </si>
  <si>
    <t>BTJC_v6_13to15</t>
  </si>
  <si>
    <t>BTJC_v6_1to4</t>
  </si>
  <si>
    <t>BTJC_v6_5to8</t>
  </si>
  <si>
    <t>BTJC_v6_9to12</t>
  </si>
  <si>
    <t>BTJC_v7_16to18</t>
  </si>
  <si>
    <t>BTJC_v7_19to21</t>
  </si>
  <si>
    <t>BTJC_v7_22to27</t>
  </si>
  <si>
    <t>BTJC_v7_28to29</t>
  </si>
  <si>
    <t>BTJC_v8_30to31</t>
  </si>
  <si>
    <t>BTJC_v8_32</t>
  </si>
  <si>
    <t>BTJC_v8_32to34</t>
  </si>
  <si>
    <t>BTJC_v8_33</t>
  </si>
  <si>
    <t>BTJC_v8_34</t>
  </si>
  <si>
    <t>BTJC_v9_35</t>
  </si>
  <si>
    <t>BTJC_v9_36to37</t>
  </si>
  <si>
    <t>BTJC_v9_38to40</t>
  </si>
  <si>
    <t>BTJC_v9_41to42</t>
  </si>
  <si>
    <t>DoraRussell_Hinges</t>
  </si>
  <si>
    <t>EBL_Parisians2</t>
  </si>
  <si>
    <t>EmmaRobinson_Graham-sec</t>
  </si>
  <si>
    <t>Fenn_LittleWorld</t>
  </si>
  <si>
    <t>Fitzgerald_Diana</t>
  </si>
  <si>
    <t>Friswell_Oneoftwo</t>
  </si>
  <si>
    <t>Harwood_Livingston-sec</t>
  </si>
  <si>
    <t>Hatton_London</t>
  </si>
  <si>
    <t>Hoey_Cain</t>
  </si>
  <si>
    <t>Macquoid_Rookstone</t>
  </si>
  <si>
    <t>McCarthy_Misanthrope</t>
  </si>
  <si>
    <t>MortimerCollins_Sweet</t>
  </si>
  <si>
    <t>Riddell_House</t>
  </si>
  <si>
    <t>Ross_Widow</t>
  </si>
  <si>
    <t>Sala_Strange</t>
  </si>
  <si>
    <t>StJohn_Seaice</t>
  </si>
  <si>
    <t>Thomas_Colours</t>
  </si>
  <si>
    <t>Thornbury_VicarsCourtship</t>
  </si>
  <si>
    <t>Williams_Strawberry</t>
  </si>
  <si>
    <t>WSHayward_LovesTreason</t>
  </si>
  <si>
    <t>Yates_Wainwright</t>
  </si>
  <si>
    <t>The worksheet 'cosine_distance1000MFW contains the distance table from the analysis performed on the chapters of Mary Elizabeth Braddon's Bound to John Company</t>
  </si>
  <si>
    <t>(closest)</t>
  </si>
  <si>
    <t>Text Being Anlaysed</t>
  </si>
  <si>
    <t xml:space="preserve">Each author’s works are tokenised into individual words and then  the most frequent words (MFW) are calculated across the whole corpus. Each author’s works can then be compared on the basis of how ‘different’ they are to each other. </t>
  </si>
  <si>
    <t>Across the top of the table each author has two novels as a sample of their work and down the left hand side is the text that is being compared.</t>
  </si>
  <si>
    <t xml:space="preserve">A cosine distance score is given for each novel against the text being analysed, the lower the resulting value the less distant (i.e more similar) </t>
  </si>
  <si>
    <t xml:space="preserve">The minimum values for each chapter are highlighted in green for ease of reading, </t>
  </si>
  <si>
    <t>This data is produced as a result of using the classify() function in the R package stylo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</si>
</sst>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Google Sans Text"/>
    </font>
    <font>
      <sz val="11"/>
      <color theme="1"/>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0" fontId="0" fillId="33" borderId="0" xfId="0" applyFill="1"/>
    <xf numFmtId="0" fontId="0" fillId="34" borderId="0" xfId="0" applyFill="1"/>
    <xf numFmtId="0" fontId="16"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0DFB0-4841-47BC-8E52-F284B14A4E79}">
  <dimension ref="A1:BU64"/>
  <sheetViews>
    <sheetView tabSelected="1" workbookViewId="0">
      <selection activeCell="D1" sqref="D1"/>
    </sheetView>
  </sheetViews>
  <sheetFormatPr defaultRowHeight="15"/>
  <cols>
    <col min="1" max="1" width="27.28515625" bestFit="1" customWidth="1"/>
    <col min="2" max="6" width="12" bestFit="1" customWidth="1"/>
    <col min="7" max="7" width="13.28515625" customWidth="1"/>
    <col min="8" max="10" width="12" bestFit="1" customWidth="1"/>
    <col min="11" max="12" width="13.7109375" bestFit="1" customWidth="1"/>
    <col min="13" max="16" width="12" bestFit="1" customWidth="1"/>
    <col min="17" max="18" width="17" bestFit="1" customWidth="1"/>
    <col min="19" max="30" width="12" bestFit="1" customWidth="1"/>
    <col min="31" max="31" width="11" bestFit="1" customWidth="1"/>
    <col min="32" max="43" width="12" bestFit="1" customWidth="1"/>
    <col min="44" max="45" width="17.28515625" bestFit="1" customWidth="1"/>
    <col min="46" max="48" width="12" bestFit="1" customWidth="1"/>
    <col min="49" max="49" width="11" bestFit="1" customWidth="1"/>
    <col min="50" max="63" width="12" bestFit="1" customWidth="1"/>
    <col min="64" max="64" width="11" bestFit="1" customWidth="1"/>
    <col min="65" max="67" width="12" bestFit="1" customWidth="1"/>
    <col min="68" max="69" width="13.42578125" bestFit="1" customWidth="1"/>
    <col min="70" max="73" width="12" bestFit="1" customWidth="1"/>
  </cols>
  <sheetData>
    <row r="1" spans="1:73">
      <c r="A1" t="s">
        <v>0</v>
      </c>
      <c r="B1" t="s">
        <v>1</v>
      </c>
      <c r="C1" t="s">
        <v>2</v>
      </c>
      <c r="D1" t="s">
        <v>68</v>
      </c>
      <c r="E1" t="s">
        <v>3</v>
      </c>
      <c r="F1" t="s">
        <v>3</v>
      </c>
      <c r="H1" t="s">
        <v>4</v>
      </c>
      <c r="I1" t="s">
        <v>4</v>
      </c>
      <c r="K1" t="s">
        <v>5</v>
      </c>
      <c r="L1" t="s">
        <v>5</v>
      </c>
      <c r="N1" t="s">
        <v>6</v>
      </c>
      <c r="O1" t="s">
        <v>6</v>
      </c>
      <c r="Q1" t="s">
        <v>7</v>
      </c>
      <c r="R1" t="s">
        <v>7</v>
      </c>
      <c r="T1" t="s">
        <v>8</v>
      </c>
      <c r="U1" t="s">
        <v>8</v>
      </c>
      <c r="W1" t="s">
        <v>9</v>
      </c>
      <c r="X1" t="s">
        <v>9</v>
      </c>
      <c r="Z1" t="s">
        <v>10</v>
      </c>
      <c r="AA1" t="s">
        <v>10</v>
      </c>
      <c r="AC1" t="s">
        <v>11</v>
      </c>
      <c r="AD1" t="s">
        <v>11</v>
      </c>
      <c r="AF1" t="s">
        <v>12</v>
      </c>
      <c r="AG1" t="s">
        <v>12</v>
      </c>
      <c r="AI1" t="s">
        <v>13</v>
      </c>
      <c r="AJ1" t="s">
        <v>13</v>
      </c>
      <c r="AL1" t="s">
        <v>14</v>
      </c>
      <c r="AM1" t="s">
        <v>14</v>
      </c>
      <c r="AO1" t="s">
        <v>15</v>
      </c>
      <c r="AP1" t="s">
        <v>15</v>
      </c>
      <c r="AR1" t="s">
        <v>16</v>
      </c>
      <c r="AS1" t="s">
        <v>16</v>
      </c>
      <c r="AU1" t="s">
        <v>17</v>
      </c>
      <c r="AV1" t="s">
        <v>17</v>
      </c>
      <c r="AX1" t="s">
        <v>18</v>
      </c>
      <c r="AY1" t="s">
        <v>18</v>
      </c>
      <c r="BA1" t="s">
        <v>19</v>
      </c>
      <c r="BB1" t="s">
        <v>19</v>
      </c>
      <c r="BD1" t="s">
        <v>20</v>
      </c>
      <c r="BE1" t="s">
        <v>20</v>
      </c>
      <c r="BG1" t="s">
        <v>21</v>
      </c>
      <c r="BH1" t="s">
        <v>21</v>
      </c>
      <c r="BJ1" t="s">
        <v>22</v>
      </c>
      <c r="BK1" t="s">
        <v>22</v>
      </c>
      <c r="BM1" t="s">
        <v>23</v>
      </c>
      <c r="BN1" t="s">
        <v>23</v>
      </c>
      <c r="BP1" t="s">
        <v>24</v>
      </c>
      <c r="BQ1" t="s">
        <v>24</v>
      </c>
      <c r="BS1" t="s">
        <v>25</v>
      </c>
      <c r="BT1" t="s">
        <v>25</v>
      </c>
    </row>
    <row r="2" spans="1:73">
      <c r="A2" s="4" t="s">
        <v>69</v>
      </c>
    </row>
    <row r="3" spans="1:73">
      <c r="A3" t="s">
        <v>29</v>
      </c>
      <c r="B3">
        <v>1.039837372</v>
      </c>
      <c r="C3">
        <v>0.94471200899999996</v>
      </c>
      <c r="D3">
        <f t="shared" ref="D3:D43" si="0">MIN(B3:C3)</f>
        <v>0.94471200899999996</v>
      </c>
      <c r="E3">
        <v>0.990453272</v>
      </c>
      <c r="F3">
        <v>1.125073022</v>
      </c>
      <c r="G3">
        <f t="shared" ref="G3:G43" si="1">MIN(E3:F3)</f>
        <v>0.990453272</v>
      </c>
      <c r="H3">
        <v>0.98987424099999999</v>
      </c>
      <c r="I3">
        <v>0.83334322500000002</v>
      </c>
      <c r="J3" s="2">
        <f t="shared" ref="J3:J43" si="2">MIN(H3:I3)</f>
        <v>0.83334322500000002</v>
      </c>
      <c r="K3">
        <v>1.1515843429999999</v>
      </c>
      <c r="L3">
        <v>1.136874532</v>
      </c>
      <c r="M3">
        <f t="shared" ref="M3:M43" si="3">MIN(K3:L3)</f>
        <v>1.136874532</v>
      </c>
      <c r="N3">
        <v>0.89777145899999999</v>
      </c>
      <c r="O3">
        <v>1.0543125149999999</v>
      </c>
      <c r="P3">
        <f t="shared" ref="P3:P43" si="4">MIN(N3:O3)</f>
        <v>0.89777145899999999</v>
      </c>
      <c r="Q3">
        <v>0.96960212800000001</v>
      </c>
      <c r="R3">
        <v>0.937180491</v>
      </c>
      <c r="S3">
        <f t="shared" ref="S3:S43" si="5">MIN(Q3:R3)</f>
        <v>0.937180491</v>
      </c>
      <c r="T3">
        <v>1.086107484</v>
      </c>
      <c r="U3">
        <v>1.1121016669999999</v>
      </c>
      <c r="V3">
        <f t="shared" ref="V3:V43" si="6">MIN(T3:U3)</f>
        <v>1.086107484</v>
      </c>
      <c r="W3">
        <v>1.18588106</v>
      </c>
      <c r="X3">
        <v>1.210053842</v>
      </c>
      <c r="Y3">
        <f t="shared" ref="Y3:Y43" si="7">MIN(W3:X3)</f>
        <v>1.18588106</v>
      </c>
      <c r="Z3">
        <v>1.0880076910000001</v>
      </c>
      <c r="AA3">
        <v>1.07687113</v>
      </c>
      <c r="AB3">
        <f t="shared" ref="AB3:AB43" si="8">MIN(Z3:AA3)</f>
        <v>1.07687113</v>
      </c>
      <c r="AC3">
        <v>1.0420176560000001</v>
      </c>
      <c r="AD3">
        <v>0.90084521100000003</v>
      </c>
      <c r="AE3">
        <f t="shared" ref="AE3:AE19" si="9">MIN(AC3:AD3)</f>
        <v>0.90084521100000003</v>
      </c>
      <c r="AF3">
        <v>1.0819140249999999</v>
      </c>
      <c r="AG3">
        <v>1.0912074949999999</v>
      </c>
      <c r="AH3">
        <f t="shared" ref="AH3:AH19" si="10">MIN(AF3:AG3)</f>
        <v>1.0819140249999999</v>
      </c>
      <c r="AI3">
        <v>1.0857109579999999</v>
      </c>
      <c r="AJ3">
        <v>1.034539917</v>
      </c>
      <c r="AK3">
        <f t="shared" ref="AK3:AK19" si="11">MIN(AI3:AJ3)</f>
        <v>1.034539917</v>
      </c>
      <c r="AL3">
        <v>1.1723905489999999</v>
      </c>
      <c r="AM3">
        <v>1.2283325199999999</v>
      </c>
      <c r="AN3">
        <f t="shared" ref="AN3:AN19" si="12">MIN(AL3:AM3)</f>
        <v>1.1723905489999999</v>
      </c>
      <c r="AO3">
        <v>1.1593374999999999</v>
      </c>
      <c r="AP3">
        <v>1.1189907530000001</v>
      </c>
      <c r="AQ3">
        <f t="shared" ref="AQ3:AQ19" si="13">MIN(AO3:AP3)</f>
        <v>1.1189907530000001</v>
      </c>
      <c r="AR3">
        <v>1.0852800840000001</v>
      </c>
      <c r="AS3">
        <v>1.034087092</v>
      </c>
      <c r="AT3">
        <f t="shared" ref="AT3:AT19" si="14">MIN(AR3:AS3)</f>
        <v>1.034087092</v>
      </c>
      <c r="AU3">
        <v>1.0576504870000001</v>
      </c>
      <c r="AV3">
        <v>1.0381237910000001</v>
      </c>
      <c r="AW3">
        <f t="shared" ref="AW3:AW19" si="15">MIN(AU3:AV3)</f>
        <v>1.0381237910000001</v>
      </c>
      <c r="AX3">
        <v>1.136738442</v>
      </c>
      <c r="AY3">
        <v>1.1085983939999999</v>
      </c>
      <c r="AZ3">
        <f t="shared" ref="AZ3:AZ19" si="16">MIN(AX3:AY3)</f>
        <v>1.1085983939999999</v>
      </c>
      <c r="BA3">
        <v>1.0049664709999999</v>
      </c>
      <c r="BB3">
        <v>0.94543037699999999</v>
      </c>
      <c r="BC3">
        <f t="shared" ref="BC3:BC19" si="17">MIN(BA3:BB3)</f>
        <v>0.94543037699999999</v>
      </c>
      <c r="BD3">
        <v>0.90110782300000003</v>
      </c>
      <c r="BE3">
        <v>0.95678419299999995</v>
      </c>
      <c r="BF3">
        <f t="shared" ref="BF3:BF19" si="18">MIN(BD3:BE3)</f>
        <v>0.90110782300000003</v>
      </c>
      <c r="BG3">
        <v>1.1660834090000001</v>
      </c>
      <c r="BH3">
        <v>1.1200875180000001</v>
      </c>
      <c r="BI3">
        <f t="shared" ref="BI3:BI19" si="19">MIN(BG3:BH3)</f>
        <v>1.1200875180000001</v>
      </c>
      <c r="BJ3">
        <v>1.117191453</v>
      </c>
      <c r="BK3">
        <v>0.90672925199999999</v>
      </c>
      <c r="BL3">
        <f t="shared" ref="BL3:BL19" si="20">MIN(BJ3:BK3)</f>
        <v>0.90672925199999999</v>
      </c>
      <c r="BM3">
        <v>0.91277222199999997</v>
      </c>
      <c r="BN3">
        <v>1.093591728</v>
      </c>
      <c r="BO3">
        <f t="shared" ref="BO3:BO19" si="21">MIN(BM3:BN3)</f>
        <v>0.91277222199999997</v>
      </c>
      <c r="BP3">
        <v>1.01162665</v>
      </c>
      <c r="BQ3">
        <v>0.98544543900000003</v>
      </c>
      <c r="BR3">
        <f t="shared" ref="BR3:BR19" si="22">MIN(BP3:BQ3)</f>
        <v>0.98544543900000003</v>
      </c>
      <c r="BS3">
        <v>1.154866875</v>
      </c>
      <c r="BT3">
        <v>1.106939323</v>
      </c>
      <c r="BU3">
        <f t="shared" ref="BU3:BU19" si="23">MIN(BS3:BT3)</f>
        <v>1.106939323</v>
      </c>
    </row>
    <row r="4" spans="1:73">
      <c r="A4" t="s">
        <v>30</v>
      </c>
      <c r="B4">
        <v>1.1276012500000001</v>
      </c>
      <c r="C4">
        <v>1.0838997269999999</v>
      </c>
      <c r="D4">
        <f t="shared" si="0"/>
        <v>1.0838997269999999</v>
      </c>
      <c r="E4">
        <v>1.0388906469999999</v>
      </c>
      <c r="F4">
        <v>1.023017541</v>
      </c>
      <c r="G4">
        <f t="shared" si="1"/>
        <v>1.023017541</v>
      </c>
      <c r="H4">
        <v>0.83425196800000001</v>
      </c>
      <c r="I4">
        <v>0.88857443000000003</v>
      </c>
      <c r="J4" s="2">
        <f t="shared" si="2"/>
        <v>0.83425196800000001</v>
      </c>
      <c r="K4">
        <v>1.004204544</v>
      </c>
      <c r="L4">
        <v>0.98358573000000005</v>
      </c>
      <c r="M4">
        <f t="shared" si="3"/>
        <v>0.98358573000000005</v>
      </c>
      <c r="N4">
        <v>0.95883127400000001</v>
      </c>
      <c r="O4">
        <v>1.0249398620000001</v>
      </c>
      <c r="P4">
        <f t="shared" si="4"/>
        <v>0.95883127400000001</v>
      </c>
      <c r="Q4">
        <v>1.079652531</v>
      </c>
      <c r="R4">
        <v>1.0462509230000001</v>
      </c>
      <c r="S4">
        <f t="shared" si="5"/>
        <v>1.0462509230000001</v>
      </c>
      <c r="T4">
        <v>1.026878701</v>
      </c>
      <c r="U4">
        <v>0.98036281999999997</v>
      </c>
      <c r="V4">
        <f t="shared" si="6"/>
        <v>0.98036281999999997</v>
      </c>
      <c r="W4">
        <v>1.0971820459999999</v>
      </c>
      <c r="X4">
        <v>1.109469617</v>
      </c>
      <c r="Y4">
        <f t="shared" si="7"/>
        <v>1.0971820459999999</v>
      </c>
      <c r="Z4">
        <v>1.023991645</v>
      </c>
      <c r="AA4">
        <v>0.95962462900000001</v>
      </c>
      <c r="AB4">
        <f t="shared" si="8"/>
        <v>0.95962462900000001</v>
      </c>
      <c r="AC4">
        <v>0.92068503800000001</v>
      </c>
      <c r="AD4">
        <v>0.94510292200000001</v>
      </c>
      <c r="AE4">
        <f t="shared" si="9"/>
        <v>0.92068503800000001</v>
      </c>
      <c r="AF4">
        <v>0.94200425200000004</v>
      </c>
      <c r="AG4">
        <v>0.94936072000000005</v>
      </c>
      <c r="AH4">
        <f t="shared" si="10"/>
        <v>0.94200425200000004</v>
      </c>
      <c r="AI4">
        <v>1.089639239</v>
      </c>
      <c r="AJ4">
        <v>1.1226199539999999</v>
      </c>
      <c r="AK4">
        <f t="shared" si="11"/>
        <v>1.089639239</v>
      </c>
      <c r="AL4">
        <v>1.0606171680000001</v>
      </c>
      <c r="AM4">
        <v>1.1210639529999999</v>
      </c>
      <c r="AN4">
        <f t="shared" si="12"/>
        <v>1.0606171680000001</v>
      </c>
      <c r="AO4">
        <v>1.118189173</v>
      </c>
      <c r="AP4">
        <v>1.0886418819999999</v>
      </c>
      <c r="AQ4">
        <f t="shared" si="13"/>
        <v>1.0886418819999999</v>
      </c>
      <c r="AR4">
        <v>1.088383337</v>
      </c>
      <c r="AS4">
        <v>1.0274408799999999</v>
      </c>
      <c r="AT4">
        <f t="shared" si="14"/>
        <v>1.0274408799999999</v>
      </c>
      <c r="AU4">
        <v>1.1438683590000001</v>
      </c>
      <c r="AV4">
        <v>1.1059916700000001</v>
      </c>
      <c r="AW4">
        <f t="shared" si="15"/>
        <v>1.1059916700000001</v>
      </c>
      <c r="AX4">
        <v>1.1369711259999999</v>
      </c>
      <c r="AY4">
        <v>1.1388900639999999</v>
      </c>
      <c r="AZ4">
        <f t="shared" si="16"/>
        <v>1.1369711259999999</v>
      </c>
      <c r="BA4">
        <v>0.97654994500000003</v>
      </c>
      <c r="BB4">
        <v>0.92647196200000004</v>
      </c>
      <c r="BC4">
        <f t="shared" si="17"/>
        <v>0.92647196200000004</v>
      </c>
      <c r="BD4">
        <v>0.99489366300000004</v>
      </c>
      <c r="BE4">
        <v>0.97996516499999997</v>
      </c>
      <c r="BF4">
        <f t="shared" si="18"/>
        <v>0.97996516499999997</v>
      </c>
      <c r="BG4">
        <v>1.0848993440000001</v>
      </c>
      <c r="BH4">
        <v>1.0458385800000001</v>
      </c>
      <c r="BI4">
        <f t="shared" si="19"/>
        <v>1.0458385800000001</v>
      </c>
      <c r="BJ4">
        <v>1.0037543710000001</v>
      </c>
      <c r="BK4">
        <v>0.90937616799999998</v>
      </c>
      <c r="BL4">
        <f t="shared" si="20"/>
        <v>0.90937616799999998</v>
      </c>
      <c r="BM4">
        <v>1.0363626159999999</v>
      </c>
      <c r="BN4">
        <v>1.0259156679999999</v>
      </c>
      <c r="BO4">
        <f t="shared" si="21"/>
        <v>1.0259156679999999</v>
      </c>
      <c r="BP4">
        <v>1.133605298</v>
      </c>
      <c r="BQ4">
        <v>1.0605828749999999</v>
      </c>
      <c r="BR4">
        <f t="shared" si="22"/>
        <v>1.0605828749999999</v>
      </c>
      <c r="BS4">
        <v>1.104061199</v>
      </c>
      <c r="BT4">
        <v>1.0189418459999999</v>
      </c>
      <c r="BU4">
        <f t="shared" si="23"/>
        <v>1.0189418459999999</v>
      </c>
    </row>
    <row r="5" spans="1:73">
      <c r="A5" t="s">
        <v>31</v>
      </c>
      <c r="B5">
        <v>1.14654828</v>
      </c>
      <c r="C5">
        <v>1.1516143919999999</v>
      </c>
      <c r="D5">
        <f t="shared" si="0"/>
        <v>1.14654828</v>
      </c>
      <c r="E5">
        <v>0.99282794500000005</v>
      </c>
      <c r="F5">
        <v>0.97639484399999998</v>
      </c>
      <c r="G5">
        <f t="shared" si="1"/>
        <v>0.97639484399999998</v>
      </c>
      <c r="H5">
        <v>0.90478339399999996</v>
      </c>
      <c r="I5">
        <v>0.73751956100000005</v>
      </c>
      <c r="J5" s="2">
        <f t="shared" si="2"/>
        <v>0.73751956100000005</v>
      </c>
      <c r="K5">
        <v>0.95835442599999998</v>
      </c>
      <c r="L5">
        <v>0.93712150900000002</v>
      </c>
      <c r="M5">
        <f t="shared" si="3"/>
        <v>0.93712150900000002</v>
      </c>
      <c r="N5">
        <v>1.0645426629999999</v>
      </c>
      <c r="O5">
        <v>1.0006463350000001</v>
      </c>
      <c r="P5">
        <f t="shared" si="4"/>
        <v>1.0006463350000001</v>
      </c>
      <c r="Q5">
        <v>0.93794363300000005</v>
      </c>
      <c r="R5">
        <v>1.011795803</v>
      </c>
      <c r="S5">
        <f t="shared" si="5"/>
        <v>0.93794363300000005</v>
      </c>
      <c r="T5">
        <v>1.2094454720000001</v>
      </c>
      <c r="U5">
        <v>1.1035774060000001</v>
      </c>
      <c r="V5">
        <f t="shared" si="6"/>
        <v>1.1035774060000001</v>
      </c>
      <c r="W5">
        <v>1.1455063649999999</v>
      </c>
      <c r="X5">
        <v>1.1343100719999999</v>
      </c>
      <c r="Y5">
        <f t="shared" si="7"/>
        <v>1.1343100719999999</v>
      </c>
      <c r="Z5">
        <v>0.99102065699999997</v>
      </c>
      <c r="AA5">
        <v>1.1137292350000001</v>
      </c>
      <c r="AB5">
        <f t="shared" si="8"/>
        <v>0.99102065699999997</v>
      </c>
      <c r="AC5">
        <v>1.0696059950000001</v>
      </c>
      <c r="AD5">
        <v>1.1731518869999999</v>
      </c>
      <c r="AE5">
        <f t="shared" si="9"/>
        <v>1.0696059950000001</v>
      </c>
      <c r="AF5">
        <v>1.0749060560000001</v>
      </c>
      <c r="AG5">
        <v>1.042468392</v>
      </c>
      <c r="AH5">
        <f t="shared" si="10"/>
        <v>1.042468392</v>
      </c>
      <c r="AI5">
        <v>1.050397115</v>
      </c>
      <c r="AJ5">
        <v>0.98359772199999995</v>
      </c>
      <c r="AK5">
        <f t="shared" si="11"/>
        <v>0.98359772199999995</v>
      </c>
      <c r="AL5">
        <v>0.97036800099999998</v>
      </c>
      <c r="AM5">
        <v>0.98974557799999996</v>
      </c>
      <c r="AN5">
        <f t="shared" si="12"/>
        <v>0.97036800099999998</v>
      </c>
      <c r="AO5">
        <v>0.98753745699999995</v>
      </c>
      <c r="AP5">
        <v>1.006810333</v>
      </c>
      <c r="AQ5">
        <f t="shared" si="13"/>
        <v>0.98753745699999995</v>
      </c>
      <c r="AR5">
        <v>1.090390687</v>
      </c>
      <c r="AS5">
        <v>1.1019025760000001</v>
      </c>
      <c r="AT5">
        <f t="shared" si="14"/>
        <v>1.090390687</v>
      </c>
      <c r="AU5">
        <v>1.0436997880000001</v>
      </c>
      <c r="AV5">
        <v>1.07970353</v>
      </c>
      <c r="AW5">
        <f t="shared" si="15"/>
        <v>1.0436997880000001</v>
      </c>
      <c r="AX5">
        <v>1.178877347</v>
      </c>
      <c r="AY5">
        <v>1.1425286960000001</v>
      </c>
      <c r="AZ5">
        <f t="shared" si="16"/>
        <v>1.1425286960000001</v>
      </c>
      <c r="BA5">
        <v>1.207803942</v>
      </c>
      <c r="BB5">
        <v>1.115468538</v>
      </c>
      <c r="BC5">
        <f t="shared" si="17"/>
        <v>1.115468538</v>
      </c>
      <c r="BD5">
        <v>1.1613245270000001</v>
      </c>
      <c r="BE5">
        <v>1.161629741</v>
      </c>
      <c r="BF5">
        <f t="shared" si="18"/>
        <v>1.1613245270000001</v>
      </c>
      <c r="BG5">
        <v>1.081430031</v>
      </c>
      <c r="BH5">
        <v>1.0516605160000001</v>
      </c>
      <c r="BI5">
        <f t="shared" si="19"/>
        <v>1.0516605160000001</v>
      </c>
      <c r="BJ5">
        <v>1.1582609189999999</v>
      </c>
      <c r="BK5">
        <v>1.086653125</v>
      </c>
      <c r="BL5">
        <f t="shared" si="20"/>
        <v>1.086653125</v>
      </c>
      <c r="BM5">
        <v>1.0468173970000001</v>
      </c>
      <c r="BN5">
        <v>1.1060403409999999</v>
      </c>
      <c r="BO5">
        <f t="shared" si="21"/>
        <v>1.0468173970000001</v>
      </c>
      <c r="BP5">
        <v>1.177720865</v>
      </c>
      <c r="BQ5">
        <v>1.0724250040000001</v>
      </c>
      <c r="BR5">
        <f t="shared" si="22"/>
        <v>1.0724250040000001</v>
      </c>
      <c r="BS5">
        <v>1.1281229800000001</v>
      </c>
      <c r="BT5">
        <v>0.97734317000000004</v>
      </c>
      <c r="BU5">
        <f t="shared" si="23"/>
        <v>0.97734317000000004</v>
      </c>
    </row>
    <row r="6" spans="1:73">
      <c r="A6" t="s">
        <v>32</v>
      </c>
      <c r="B6">
        <v>1.0815329410000001</v>
      </c>
      <c r="C6">
        <v>1.071267663</v>
      </c>
      <c r="D6">
        <f t="shared" si="0"/>
        <v>1.071267663</v>
      </c>
      <c r="E6">
        <v>1.0655789790000001</v>
      </c>
      <c r="F6">
        <v>1.049627697</v>
      </c>
      <c r="G6">
        <f t="shared" si="1"/>
        <v>1.049627697</v>
      </c>
      <c r="H6">
        <v>0.88227696300000003</v>
      </c>
      <c r="I6">
        <v>0.79560534699999996</v>
      </c>
      <c r="J6" s="2">
        <f t="shared" si="2"/>
        <v>0.79560534699999996</v>
      </c>
      <c r="K6">
        <v>1.0388217179999999</v>
      </c>
      <c r="L6">
        <v>1.053088606</v>
      </c>
      <c r="M6">
        <f t="shared" si="3"/>
        <v>1.0388217179999999</v>
      </c>
      <c r="N6">
        <v>1.0358213979999999</v>
      </c>
      <c r="O6">
        <v>0.98414306399999996</v>
      </c>
      <c r="P6">
        <f t="shared" si="4"/>
        <v>0.98414306399999996</v>
      </c>
      <c r="Q6">
        <v>1.0107527949999999</v>
      </c>
      <c r="R6">
        <v>1.051023939</v>
      </c>
      <c r="S6">
        <f t="shared" si="5"/>
        <v>1.0107527949999999</v>
      </c>
      <c r="T6">
        <v>1.1301182489999999</v>
      </c>
      <c r="U6">
        <v>1.1042026140000001</v>
      </c>
      <c r="V6">
        <f t="shared" si="6"/>
        <v>1.1042026140000001</v>
      </c>
      <c r="W6">
        <v>1.0956931919999999</v>
      </c>
      <c r="X6">
        <v>1.112944403</v>
      </c>
      <c r="Y6">
        <f t="shared" si="7"/>
        <v>1.0956931919999999</v>
      </c>
      <c r="Z6">
        <v>0.98177908400000002</v>
      </c>
      <c r="AA6">
        <v>1.027339231</v>
      </c>
      <c r="AB6">
        <f t="shared" si="8"/>
        <v>0.98177908400000002</v>
      </c>
      <c r="AC6">
        <v>1.0568364109999999</v>
      </c>
      <c r="AD6">
        <v>1.0061396279999999</v>
      </c>
      <c r="AE6">
        <f t="shared" si="9"/>
        <v>1.0061396279999999</v>
      </c>
      <c r="AF6">
        <v>1.0253071039999999</v>
      </c>
      <c r="AG6">
        <v>0.99180564800000004</v>
      </c>
      <c r="AH6">
        <f t="shared" si="10"/>
        <v>0.99180564800000004</v>
      </c>
      <c r="AI6">
        <v>1.0723124479999999</v>
      </c>
      <c r="AJ6">
        <v>1.073183556</v>
      </c>
      <c r="AK6">
        <f t="shared" si="11"/>
        <v>1.0723124479999999</v>
      </c>
      <c r="AL6">
        <v>1.1233402910000001</v>
      </c>
      <c r="AM6">
        <v>1.1131973989999999</v>
      </c>
      <c r="AN6">
        <f t="shared" si="12"/>
        <v>1.1131973989999999</v>
      </c>
      <c r="AO6">
        <v>1.110710887</v>
      </c>
      <c r="AP6">
        <v>1.0858946620000001</v>
      </c>
      <c r="AQ6">
        <f t="shared" si="13"/>
        <v>1.0858946620000001</v>
      </c>
      <c r="AR6">
        <v>1.025366869</v>
      </c>
      <c r="AS6">
        <v>1.0577533379999999</v>
      </c>
      <c r="AT6">
        <f t="shared" si="14"/>
        <v>1.025366869</v>
      </c>
      <c r="AU6">
        <v>1.0407648620000001</v>
      </c>
      <c r="AV6">
        <v>1.100315972</v>
      </c>
      <c r="AW6">
        <f t="shared" si="15"/>
        <v>1.0407648620000001</v>
      </c>
      <c r="AX6">
        <v>1.1046437010000001</v>
      </c>
      <c r="AY6">
        <v>1.0431839119999999</v>
      </c>
      <c r="AZ6">
        <f t="shared" si="16"/>
        <v>1.0431839119999999</v>
      </c>
      <c r="BA6">
        <v>0.989298122</v>
      </c>
      <c r="BB6">
        <v>0.99391647500000002</v>
      </c>
      <c r="BC6">
        <f t="shared" si="17"/>
        <v>0.989298122</v>
      </c>
      <c r="BD6">
        <v>1.0714706919999999</v>
      </c>
      <c r="BE6">
        <v>1.0534927590000001</v>
      </c>
      <c r="BF6">
        <f t="shared" si="18"/>
        <v>1.0534927590000001</v>
      </c>
      <c r="BG6">
        <v>1.081039898</v>
      </c>
      <c r="BH6">
        <v>1.0596508229999999</v>
      </c>
      <c r="BI6">
        <f t="shared" si="19"/>
        <v>1.0596508229999999</v>
      </c>
      <c r="BJ6">
        <v>1.036956451</v>
      </c>
      <c r="BK6">
        <v>0.98800484799999999</v>
      </c>
      <c r="BL6">
        <f t="shared" si="20"/>
        <v>0.98800484799999999</v>
      </c>
      <c r="BM6">
        <v>0.99781497200000002</v>
      </c>
      <c r="BN6">
        <v>1.076273324</v>
      </c>
      <c r="BO6">
        <f t="shared" si="21"/>
        <v>0.99781497200000002</v>
      </c>
      <c r="BP6">
        <v>1.084506792</v>
      </c>
      <c r="BQ6">
        <v>1.0137641829999999</v>
      </c>
      <c r="BR6">
        <f t="shared" si="22"/>
        <v>1.0137641829999999</v>
      </c>
      <c r="BS6">
        <v>1.076501119</v>
      </c>
      <c r="BT6">
        <v>0.94966108299999996</v>
      </c>
      <c r="BU6">
        <f t="shared" si="23"/>
        <v>0.94966108299999996</v>
      </c>
    </row>
    <row r="7" spans="1:73">
      <c r="A7" t="s">
        <v>33</v>
      </c>
      <c r="B7">
        <v>0.92634876099999997</v>
      </c>
      <c r="C7">
        <v>0.82734293000000003</v>
      </c>
      <c r="D7">
        <f t="shared" si="0"/>
        <v>0.82734293000000003</v>
      </c>
      <c r="E7">
        <v>0.96243429199999997</v>
      </c>
      <c r="F7">
        <v>1.1392177560000001</v>
      </c>
      <c r="G7">
        <f t="shared" si="1"/>
        <v>0.96243429199999997</v>
      </c>
      <c r="H7">
        <v>1.0589786450000001</v>
      </c>
      <c r="I7">
        <v>0.94407997499999996</v>
      </c>
      <c r="J7">
        <f t="shared" si="2"/>
        <v>0.94407997499999996</v>
      </c>
      <c r="K7">
        <v>1.168464771</v>
      </c>
      <c r="L7">
        <v>1.237861324</v>
      </c>
      <c r="M7">
        <f t="shared" si="3"/>
        <v>1.168464771</v>
      </c>
      <c r="N7">
        <v>0.73011768600000004</v>
      </c>
      <c r="O7">
        <v>1.033495016</v>
      </c>
      <c r="P7" s="2">
        <f t="shared" si="4"/>
        <v>0.73011768600000004</v>
      </c>
      <c r="Q7">
        <v>0.74305407599999995</v>
      </c>
      <c r="R7">
        <v>0.75727883299999998</v>
      </c>
      <c r="S7">
        <f t="shared" si="5"/>
        <v>0.74305407599999995</v>
      </c>
      <c r="T7">
        <v>1.1873465620000001</v>
      </c>
      <c r="U7">
        <v>1.2002478729999999</v>
      </c>
      <c r="V7">
        <f t="shared" si="6"/>
        <v>1.1873465620000001</v>
      </c>
      <c r="W7">
        <v>1.193360016</v>
      </c>
      <c r="X7">
        <v>1.2564805939999999</v>
      </c>
      <c r="Y7">
        <f t="shared" si="7"/>
        <v>1.193360016</v>
      </c>
      <c r="Z7">
        <v>1.0618873209999999</v>
      </c>
      <c r="AA7">
        <v>1.0880760949999999</v>
      </c>
      <c r="AB7">
        <f t="shared" si="8"/>
        <v>1.0618873209999999</v>
      </c>
      <c r="AC7">
        <v>0.98711822699999996</v>
      </c>
      <c r="AD7">
        <v>0.89701027899999997</v>
      </c>
      <c r="AE7">
        <f t="shared" si="9"/>
        <v>0.89701027899999997</v>
      </c>
      <c r="AF7">
        <v>1.03147492</v>
      </c>
      <c r="AG7">
        <v>0.98002167900000003</v>
      </c>
      <c r="AH7">
        <f t="shared" si="10"/>
        <v>0.98002167900000003</v>
      </c>
      <c r="AI7">
        <v>1.080192931</v>
      </c>
      <c r="AJ7">
        <v>1.0309862270000001</v>
      </c>
      <c r="AK7">
        <f t="shared" si="11"/>
        <v>1.0309862270000001</v>
      </c>
      <c r="AL7">
        <v>1.1779637519999999</v>
      </c>
      <c r="AM7">
        <v>1.2723435919999999</v>
      </c>
      <c r="AN7">
        <f t="shared" si="12"/>
        <v>1.1779637519999999</v>
      </c>
      <c r="AO7">
        <v>1.2404015159999999</v>
      </c>
      <c r="AP7">
        <v>1.227568862</v>
      </c>
      <c r="AQ7">
        <f t="shared" si="13"/>
        <v>1.227568862</v>
      </c>
      <c r="AR7">
        <v>1.1194414530000001</v>
      </c>
      <c r="AS7">
        <v>1.0475742130000001</v>
      </c>
      <c r="AT7">
        <f t="shared" si="14"/>
        <v>1.0475742130000001</v>
      </c>
      <c r="AU7">
        <v>1.161611876</v>
      </c>
      <c r="AV7">
        <v>1.126955105</v>
      </c>
      <c r="AW7">
        <f t="shared" si="15"/>
        <v>1.126955105</v>
      </c>
      <c r="AX7">
        <v>1.195706795</v>
      </c>
      <c r="AY7">
        <v>1.1575790989999999</v>
      </c>
      <c r="AZ7">
        <f t="shared" si="16"/>
        <v>1.1575790989999999</v>
      </c>
      <c r="BA7">
        <v>0.95454311800000002</v>
      </c>
      <c r="BB7">
        <v>0.89918367300000002</v>
      </c>
      <c r="BC7">
        <f t="shared" si="17"/>
        <v>0.89918367300000002</v>
      </c>
      <c r="BD7">
        <v>0.92685679300000001</v>
      </c>
      <c r="BE7">
        <v>0.95614924899999998</v>
      </c>
      <c r="BF7">
        <f t="shared" si="18"/>
        <v>0.92685679300000001</v>
      </c>
      <c r="BG7">
        <v>1.2295782630000001</v>
      </c>
      <c r="BH7">
        <v>1.126771363</v>
      </c>
      <c r="BI7">
        <f t="shared" si="19"/>
        <v>1.126771363</v>
      </c>
      <c r="BJ7">
        <v>1.1672759340000001</v>
      </c>
      <c r="BK7">
        <v>0.93421567100000003</v>
      </c>
      <c r="BL7">
        <f t="shared" si="20"/>
        <v>0.93421567100000003</v>
      </c>
      <c r="BM7">
        <v>0.84650071500000001</v>
      </c>
      <c r="BN7">
        <v>0.92565591000000003</v>
      </c>
      <c r="BO7">
        <f t="shared" si="21"/>
        <v>0.84650071500000001</v>
      </c>
      <c r="BP7">
        <v>0.99538274699999996</v>
      </c>
      <c r="BQ7">
        <v>0.99043412399999997</v>
      </c>
      <c r="BR7">
        <f t="shared" si="22"/>
        <v>0.99043412399999997</v>
      </c>
      <c r="BS7">
        <v>1.1172059640000001</v>
      </c>
      <c r="BT7">
        <v>1.120971151</v>
      </c>
      <c r="BU7">
        <f t="shared" si="23"/>
        <v>1.1172059640000001</v>
      </c>
    </row>
    <row r="8" spans="1:73">
      <c r="A8" t="s">
        <v>34</v>
      </c>
      <c r="B8">
        <v>0.905708136</v>
      </c>
      <c r="C8" s="3">
        <v>0.76723641799999998</v>
      </c>
      <c r="D8" s="2">
        <f t="shared" si="0"/>
        <v>0.76723641799999998</v>
      </c>
      <c r="E8">
        <v>0.99314602399999996</v>
      </c>
      <c r="F8">
        <v>1.1427100489999999</v>
      </c>
      <c r="G8">
        <f t="shared" si="1"/>
        <v>0.99314602399999996</v>
      </c>
      <c r="H8">
        <v>1.024402797</v>
      </c>
      <c r="I8">
        <v>1.0146721460000001</v>
      </c>
      <c r="J8">
        <f t="shared" si="2"/>
        <v>1.0146721460000001</v>
      </c>
      <c r="K8">
        <v>1.120762566</v>
      </c>
      <c r="L8">
        <v>1.176981888</v>
      </c>
      <c r="M8">
        <f t="shared" si="3"/>
        <v>1.120762566</v>
      </c>
      <c r="N8">
        <v>0.80864721500000003</v>
      </c>
      <c r="O8">
        <v>1.12277713</v>
      </c>
      <c r="P8">
        <f t="shared" si="4"/>
        <v>0.80864721500000003</v>
      </c>
      <c r="Q8">
        <v>0.88552247699999997</v>
      </c>
      <c r="R8">
        <v>0.83862154899999997</v>
      </c>
      <c r="S8">
        <f t="shared" si="5"/>
        <v>0.83862154899999997</v>
      </c>
      <c r="T8">
        <v>1.067392645</v>
      </c>
      <c r="U8">
        <v>1.093503618</v>
      </c>
      <c r="V8">
        <f t="shared" si="6"/>
        <v>1.067392645</v>
      </c>
      <c r="W8">
        <v>1.1459296489999999</v>
      </c>
      <c r="X8">
        <v>1.2396365</v>
      </c>
      <c r="Y8">
        <f t="shared" si="7"/>
        <v>1.1459296489999999</v>
      </c>
      <c r="Z8">
        <v>1.16198139</v>
      </c>
      <c r="AA8">
        <v>1.139997937</v>
      </c>
      <c r="AB8">
        <f t="shared" si="8"/>
        <v>1.139997937</v>
      </c>
      <c r="AC8">
        <v>1.022070026</v>
      </c>
      <c r="AD8">
        <v>0.85959685200000002</v>
      </c>
      <c r="AE8">
        <f t="shared" si="9"/>
        <v>0.85959685200000002</v>
      </c>
      <c r="AF8">
        <v>1.030147871</v>
      </c>
      <c r="AG8">
        <v>1.042226434</v>
      </c>
      <c r="AH8">
        <f t="shared" si="10"/>
        <v>1.030147871</v>
      </c>
      <c r="AI8">
        <v>1.131318424</v>
      </c>
      <c r="AJ8">
        <v>1.082882047</v>
      </c>
      <c r="AK8">
        <f t="shared" si="11"/>
        <v>1.082882047</v>
      </c>
      <c r="AL8">
        <v>1.127941546</v>
      </c>
      <c r="AM8">
        <v>1.253674255</v>
      </c>
      <c r="AN8">
        <f t="shared" si="12"/>
        <v>1.127941546</v>
      </c>
      <c r="AO8">
        <v>1.2219816160000001</v>
      </c>
      <c r="AP8">
        <v>1.2056883469999999</v>
      </c>
      <c r="AQ8">
        <f t="shared" si="13"/>
        <v>1.2056883469999999</v>
      </c>
      <c r="AR8">
        <v>1.1520152050000001</v>
      </c>
      <c r="AS8">
        <v>1.0623247280000001</v>
      </c>
      <c r="AT8">
        <f t="shared" si="14"/>
        <v>1.0623247280000001</v>
      </c>
      <c r="AU8">
        <v>1.186465766</v>
      </c>
      <c r="AV8">
        <v>1.141052417</v>
      </c>
      <c r="AW8">
        <f t="shared" si="15"/>
        <v>1.141052417</v>
      </c>
      <c r="AX8">
        <v>1.1422086309999999</v>
      </c>
      <c r="AY8">
        <v>1.1862156180000001</v>
      </c>
      <c r="AZ8">
        <f t="shared" si="16"/>
        <v>1.1422086309999999</v>
      </c>
      <c r="BA8">
        <v>0.98449837900000003</v>
      </c>
      <c r="BB8">
        <v>0.94425116799999997</v>
      </c>
      <c r="BC8">
        <f t="shared" si="17"/>
        <v>0.94425116799999997</v>
      </c>
      <c r="BD8">
        <v>0.83465117499999997</v>
      </c>
      <c r="BE8">
        <v>0.87143368899999996</v>
      </c>
      <c r="BF8">
        <f t="shared" si="18"/>
        <v>0.83465117499999997</v>
      </c>
      <c r="BG8">
        <v>1.215787323</v>
      </c>
      <c r="BH8">
        <v>1.1829532309999999</v>
      </c>
      <c r="BI8">
        <f t="shared" si="19"/>
        <v>1.1829532309999999</v>
      </c>
      <c r="BJ8">
        <v>1.1186313560000001</v>
      </c>
      <c r="BK8">
        <v>0.87490453899999998</v>
      </c>
      <c r="BL8">
        <f t="shared" si="20"/>
        <v>0.87490453899999998</v>
      </c>
      <c r="BM8">
        <v>0.93855424200000004</v>
      </c>
      <c r="BN8">
        <v>1.0030615279999999</v>
      </c>
      <c r="BO8">
        <f t="shared" si="21"/>
        <v>0.93855424200000004</v>
      </c>
      <c r="BP8">
        <v>0.88102071100000001</v>
      </c>
      <c r="BQ8">
        <v>0.91878050600000005</v>
      </c>
      <c r="BR8">
        <f t="shared" si="22"/>
        <v>0.88102071100000001</v>
      </c>
      <c r="BS8">
        <v>1.1424495370000001</v>
      </c>
      <c r="BT8">
        <v>1.1466457779999999</v>
      </c>
      <c r="BU8">
        <f t="shared" si="23"/>
        <v>1.1424495370000001</v>
      </c>
    </row>
    <row r="9" spans="1:73">
      <c r="A9" t="s">
        <v>35</v>
      </c>
      <c r="B9">
        <v>0.99306050400000001</v>
      </c>
      <c r="C9">
        <v>0.89327498100000002</v>
      </c>
      <c r="D9">
        <f t="shared" si="0"/>
        <v>0.89327498100000002</v>
      </c>
      <c r="E9">
        <v>0.98707836599999998</v>
      </c>
      <c r="F9">
        <v>1.126230378</v>
      </c>
      <c r="G9">
        <f t="shared" si="1"/>
        <v>0.98707836599999998</v>
      </c>
      <c r="H9">
        <v>1.0409928230000001</v>
      </c>
      <c r="I9">
        <v>0.96412735599999999</v>
      </c>
      <c r="J9">
        <f t="shared" si="2"/>
        <v>0.96412735599999999</v>
      </c>
      <c r="K9">
        <v>1.086590996</v>
      </c>
      <c r="L9">
        <v>1.1477434369999999</v>
      </c>
      <c r="M9">
        <f t="shared" si="3"/>
        <v>1.086590996</v>
      </c>
      <c r="N9">
        <v>0.90690648200000001</v>
      </c>
      <c r="O9">
        <v>1.067108819</v>
      </c>
      <c r="P9">
        <f t="shared" si="4"/>
        <v>0.90690648200000001</v>
      </c>
      <c r="Q9">
        <v>0.90471435899999997</v>
      </c>
      <c r="R9">
        <v>0.88344992499999997</v>
      </c>
      <c r="S9" s="2">
        <f t="shared" si="5"/>
        <v>0.88344992499999997</v>
      </c>
      <c r="T9">
        <v>1.1183772670000001</v>
      </c>
      <c r="U9">
        <v>1.169548716</v>
      </c>
      <c r="V9">
        <f t="shared" si="6"/>
        <v>1.1183772670000001</v>
      </c>
      <c r="W9">
        <v>1.084643233</v>
      </c>
      <c r="X9">
        <v>1.15374434</v>
      </c>
      <c r="Y9">
        <f t="shared" si="7"/>
        <v>1.084643233</v>
      </c>
      <c r="Z9">
        <v>1.112020276</v>
      </c>
      <c r="AA9">
        <v>1.1073580750000001</v>
      </c>
      <c r="AB9">
        <f t="shared" si="8"/>
        <v>1.1073580750000001</v>
      </c>
      <c r="AC9">
        <v>1.022578494</v>
      </c>
      <c r="AD9">
        <v>0.89930481500000004</v>
      </c>
      <c r="AE9">
        <f t="shared" si="9"/>
        <v>0.89930481500000004</v>
      </c>
      <c r="AF9">
        <v>1.0583865770000001</v>
      </c>
      <c r="AG9">
        <v>1.0213327679999999</v>
      </c>
      <c r="AH9">
        <f t="shared" si="10"/>
        <v>1.0213327679999999</v>
      </c>
      <c r="AI9">
        <v>1.1200572019999999</v>
      </c>
      <c r="AJ9">
        <v>1.0520221750000001</v>
      </c>
      <c r="AK9">
        <f t="shared" si="11"/>
        <v>1.0520221750000001</v>
      </c>
      <c r="AL9">
        <v>1.0989533220000001</v>
      </c>
      <c r="AM9">
        <v>1.1879891849999999</v>
      </c>
      <c r="AN9">
        <f t="shared" si="12"/>
        <v>1.0989533220000001</v>
      </c>
      <c r="AO9">
        <v>1.162332742</v>
      </c>
      <c r="AP9">
        <v>1.16431828</v>
      </c>
      <c r="AQ9">
        <f t="shared" si="13"/>
        <v>1.162332742</v>
      </c>
      <c r="AR9">
        <v>1.0984652109999999</v>
      </c>
      <c r="AS9">
        <v>1.0554319080000001</v>
      </c>
      <c r="AT9">
        <f t="shared" si="14"/>
        <v>1.0554319080000001</v>
      </c>
      <c r="AU9">
        <v>1.1047414289999999</v>
      </c>
      <c r="AV9">
        <v>1.1155665180000001</v>
      </c>
      <c r="AW9">
        <f t="shared" si="15"/>
        <v>1.1047414289999999</v>
      </c>
      <c r="AX9">
        <v>1.198195334</v>
      </c>
      <c r="AY9">
        <v>1.134971642</v>
      </c>
      <c r="AZ9">
        <f t="shared" si="16"/>
        <v>1.134971642</v>
      </c>
      <c r="BA9">
        <v>0.997050573</v>
      </c>
      <c r="BB9">
        <v>0.97231250000000002</v>
      </c>
      <c r="BC9">
        <f t="shared" si="17"/>
        <v>0.97231250000000002</v>
      </c>
      <c r="BD9">
        <v>0.94549081899999998</v>
      </c>
      <c r="BE9">
        <v>0.97205428699999996</v>
      </c>
      <c r="BF9">
        <f t="shared" si="18"/>
        <v>0.94549081899999998</v>
      </c>
      <c r="BG9">
        <v>1.1809870769999999</v>
      </c>
      <c r="BH9">
        <v>1.115777311</v>
      </c>
      <c r="BI9">
        <f t="shared" si="19"/>
        <v>1.115777311</v>
      </c>
      <c r="BJ9">
        <v>1.0840046210000001</v>
      </c>
      <c r="BK9">
        <v>0.93159361299999999</v>
      </c>
      <c r="BL9">
        <f t="shared" si="20"/>
        <v>0.93159361299999999</v>
      </c>
      <c r="BM9">
        <v>0.98965004899999998</v>
      </c>
      <c r="BN9">
        <v>1.04159603</v>
      </c>
      <c r="BO9">
        <f t="shared" si="21"/>
        <v>0.98965004899999998</v>
      </c>
      <c r="BP9">
        <v>0.98368733399999997</v>
      </c>
      <c r="BQ9">
        <v>0.90166246800000005</v>
      </c>
      <c r="BR9">
        <f t="shared" si="22"/>
        <v>0.90166246800000005</v>
      </c>
      <c r="BS9">
        <v>1.116537034</v>
      </c>
      <c r="BT9">
        <v>1.165384626</v>
      </c>
      <c r="BU9">
        <f t="shared" si="23"/>
        <v>1.116537034</v>
      </c>
    </row>
    <row r="10" spans="1:73">
      <c r="A10" t="s">
        <v>36</v>
      </c>
      <c r="B10">
        <v>0.89660171399999999</v>
      </c>
      <c r="C10" s="3">
        <v>0.816677812</v>
      </c>
      <c r="D10" s="2">
        <f t="shared" si="0"/>
        <v>0.816677812</v>
      </c>
      <c r="E10">
        <v>1.081482799</v>
      </c>
      <c r="F10">
        <v>1.1239511929999999</v>
      </c>
      <c r="G10">
        <f t="shared" si="1"/>
        <v>1.081482799</v>
      </c>
      <c r="H10">
        <v>0.97924587600000002</v>
      </c>
      <c r="I10">
        <v>0.96302645600000003</v>
      </c>
      <c r="J10">
        <f t="shared" si="2"/>
        <v>0.96302645600000003</v>
      </c>
      <c r="K10">
        <v>1.041409477</v>
      </c>
      <c r="L10">
        <v>1.068181635</v>
      </c>
      <c r="M10">
        <f t="shared" si="3"/>
        <v>1.041409477</v>
      </c>
      <c r="N10">
        <v>1.017037857</v>
      </c>
      <c r="O10">
        <v>1.093861867</v>
      </c>
      <c r="P10">
        <f t="shared" si="4"/>
        <v>1.017037857</v>
      </c>
      <c r="Q10">
        <v>1.023873754</v>
      </c>
      <c r="R10">
        <v>0.93726638299999998</v>
      </c>
      <c r="S10">
        <f t="shared" si="5"/>
        <v>0.93726638299999998</v>
      </c>
      <c r="T10">
        <v>1.004319467</v>
      </c>
      <c r="U10">
        <v>1.0830198529999999</v>
      </c>
      <c r="V10">
        <f t="shared" si="6"/>
        <v>1.004319467</v>
      </c>
      <c r="W10">
        <v>1.169169388</v>
      </c>
      <c r="X10">
        <v>1.14993988</v>
      </c>
      <c r="Y10">
        <f t="shared" si="7"/>
        <v>1.14993988</v>
      </c>
      <c r="Z10">
        <v>1.123598799</v>
      </c>
      <c r="AA10">
        <v>1.1318239489999999</v>
      </c>
      <c r="AB10">
        <f t="shared" si="8"/>
        <v>1.123598799</v>
      </c>
      <c r="AC10">
        <v>0.98639843999999999</v>
      </c>
      <c r="AD10">
        <v>0.91078021799999997</v>
      </c>
      <c r="AE10">
        <f t="shared" si="9"/>
        <v>0.91078021799999997</v>
      </c>
      <c r="AF10">
        <v>1.068440219</v>
      </c>
      <c r="AG10">
        <v>1.085120385</v>
      </c>
      <c r="AH10">
        <f t="shared" si="10"/>
        <v>1.068440219</v>
      </c>
      <c r="AI10">
        <v>1.1413894060000001</v>
      </c>
      <c r="AJ10">
        <v>1.100436583</v>
      </c>
      <c r="AK10">
        <f t="shared" si="11"/>
        <v>1.100436583</v>
      </c>
      <c r="AL10">
        <v>1.09048762</v>
      </c>
      <c r="AM10">
        <v>1.1434616529999999</v>
      </c>
      <c r="AN10">
        <f t="shared" si="12"/>
        <v>1.09048762</v>
      </c>
      <c r="AO10">
        <v>1.2092020130000001</v>
      </c>
      <c r="AP10">
        <v>1.1932497099999999</v>
      </c>
      <c r="AQ10">
        <f t="shared" si="13"/>
        <v>1.1932497099999999</v>
      </c>
      <c r="AR10">
        <v>1.085824211</v>
      </c>
      <c r="AS10">
        <v>1.0443824930000001</v>
      </c>
      <c r="AT10">
        <f t="shared" si="14"/>
        <v>1.0443824930000001</v>
      </c>
      <c r="AU10">
        <v>1.0881339299999999</v>
      </c>
      <c r="AV10">
        <v>1.092459265</v>
      </c>
      <c r="AW10">
        <f t="shared" si="15"/>
        <v>1.0881339299999999</v>
      </c>
      <c r="AX10">
        <v>1.0750844429999999</v>
      </c>
      <c r="AY10">
        <v>1.1097395139999999</v>
      </c>
      <c r="AZ10">
        <f t="shared" si="16"/>
        <v>1.0750844429999999</v>
      </c>
      <c r="BA10">
        <v>1.0101730120000001</v>
      </c>
      <c r="BB10">
        <v>1.030880131</v>
      </c>
      <c r="BC10">
        <f t="shared" si="17"/>
        <v>1.0101730120000001</v>
      </c>
      <c r="BD10">
        <v>0.82730778599999999</v>
      </c>
      <c r="BE10">
        <v>0.932418733</v>
      </c>
      <c r="BF10">
        <f t="shared" si="18"/>
        <v>0.82730778599999999</v>
      </c>
      <c r="BG10">
        <v>1.193103086</v>
      </c>
      <c r="BH10">
        <v>1.126802616</v>
      </c>
      <c r="BI10">
        <f t="shared" si="19"/>
        <v>1.126802616</v>
      </c>
      <c r="BJ10">
        <v>1.0165328119999999</v>
      </c>
      <c r="BK10">
        <v>0.88940137100000005</v>
      </c>
      <c r="BL10">
        <f t="shared" si="20"/>
        <v>0.88940137100000005</v>
      </c>
      <c r="BM10">
        <v>1.0433460160000001</v>
      </c>
      <c r="BN10">
        <v>1.059982518</v>
      </c>
      <c r="BO10">
        <f t="shared" si="21"/>
        <v>1.0433460160000001</v>
      </c>
      <c r="BP10">
        <v>0.89591293699999996</v>
      </c>
      <c r="BQ10">
        <v>0.86599659600000001</v>
      </c>
      <c r="BR10">
        <f t="shared" si="22"/>
        <v>0.86599659600000001</v>
      </c>
      <c r="BS10">
        <v>1.124338753</v>
      </c>
      <c r="BT10">
        <v>1.1355580999999999</v>
      </c>
      <c r="BU10">
        <f t="shared" si="23"/>
        <v>1.124338753</v>
      </c>
    </row>
    <row r="11" spans="1:73">
      <c r="A11" t="s">
        <v>37</v>
      </c>
      <c r="B11">
        <v>0.98206009999999999</v>
      </c>
      <c r="C11" s="3">
        <v>0.88697013300000005</v>
      </c>
      <c r="D11" s="2">
        <f t="shared" si="0"/>
        <v>0.88697013300000005</v>
      </c>
      <c r="E11">
        <v>0.98328864100000002</v>
      </c>
      <c r="F11">
        <v>1.0595135579999999</v>
      </c>
      <c r="G11">
        <f t="shared" si="1"/>
        <v>0.98328864100000002</v>
      </c>
      <c r="H11">
        <v>0.990271868</v>
      </c>
      <c r="I11">
        <v>0.95194791700000003</v>
      </c>
      <c r="J11">
        <f t="shared" si="2"/>
        <v>0.95194791700000003</v>
      </c>
      <c r="K11">
        <v>1.010424389</v>
      </c>
      <c r="L11">
        <v>0.99862187499999999</v>
      </c>
      <c r="M11">
        <f t="shared" si="3"/>
        <v>0.99862187499999999</v>
      </c>
      <c r="N11">
        <v>0.97248205899999995</v>
      </c>
      <c r="O11">
        <v>1.0214528430000001</v>
      </c>
      <c r="P11">
        <f t="shared" si="4"/>
        <v>0.97248205899999995</v>
      </c>
      <c r="Q11">
        <v>0.94447660899999997</v>
      </c>
      <c r="R11">
        <v>0.93848383199999996</v>
      </c>
      <c r="S11">
        <f t="shared" si="5"/>
        <v>0.93848383199999996</v>
      </c>
      <c r="T11">
        <v>1.189673137</v>
      </c>
      <c r="U11">
        <v>1.074776561</v>
      </c>
      <c r="V11">
        <f t="shared" si="6"/>
        <v>1.074776561</v>
      </c>
      <c r="W11">
        <v>1.142043076</v>
      </c>
      <c r="X11">
        <v>1.1513891169999999</v>
      </c>
      <c r="Y11">
        <f t="shared" si="7"/>
        <v>1.142043076</v>
      </c>
      <c r="Z11">
        <v>1.083069289</v>
      </c>
      <c r="AA11">
        <v>1.175611014</v>
      </c>
      <c r="AB11">
        <f t="shared" si="8"/>
        <v>1.083069289</v>
      </c>
      <c r="AC11">
        <v>1.073313398</v>
      </c>
      <c r="AD11">
        <v>1.0483230670000001</v>
      </c>
      <c r="AE11">
        <f t="shared" si="9"/>
        <v>1.0483230670000001</v>
      </c>
      <c r="AF11">
        <v>1.095180893</v>
      </c>
      <c r="AG11">
        <v>1.0594029199999999</v>
      </c>
      <c r="AH11">
        <f t="shared" si="10"/>
        <v>1.0594029199999999</v>
      </c>
      <c r="AI11">
        <v>1.089639507</v>
      </c>
      <c r="AJ11">
        <v>1.065869078</v>
      </c>
      <c r="AK11">
        <f t="shared" si="11"/>
        <v>1.065869078</v>
      </c>
      <c r="AL11">
        <v>1.050085325</v>
      </c>
      <c r="AM11">
        <v>1.135811251</v>
      </c>
      <c r="AN11">
        <f t="shared" si="12"/>
        <v>1.050085325</v>
      </c>
      <c r="AO11">
        <v>1.067141125</v>
      </c>
      <c r="AP11">
        <v>1.1003618340000001</v>
      </c>
      <c r="AQ11">
        <f t="shared" si="13"/>
        <v>1.067141125</v>
      </c>
      <c r="AR11">
        <v>1.144624729</v>
      </c>
      <c r="AS11">
        <v>1.1012088449999999</v>
      </c>
      <c r="AT11">
        <f t="shared" si="14"/>
        <v>1.1012088449999999</v>
      </c>
      <c r="AU11">
        <v>1.079689608</v>
      </c>
      <c r="AV11">
        <v>1.0994354589999999</v>
      </c>
      <c r="AW11">
        <f t="shared" si="15"/>
        <v>1.079689608</v>
      </c>
      <c r="AX11">
        <v>1.1809029120000001</v>
      </c>
      <c r="AY11">
        <v>1.1628647750000001</v>
      </c>
      <c r="AZ11">
        <f t="shared" si="16"/>
        <v>1.1628647750000001</v>
      </c>
      <c r="BA11">
        <v>1.059138656</v>
      </c>
      <c r="BB11">
        <v>1.04378196</v>
      </c>
      <c r="BC11">
        <f t="shared" si="17"/>
        <v>1.04378196</v>
      </c>
      <c r="BD11">
        <v>1.0343664930000001</v>
      </c>
      <c r="BE11">
        <v>1.00222174</v>
      </c>
      <c r="BF11">
        <f t="shared" si="18"/>
        <v>1.00222174</v>
      </c>
      <c r="BG11">
        <v>1.2140123089999999</v>
      </c>
      <c r="BH11">
        <v>1.145198854</v>
      </c>
      <c r="BI11">
        <f t="shared" si="19"/>
        <v>1.145198854</v>
      </c>
      <c r="BJ11">
        <v>1.165664094</v>
      </c>
      <c r="BK11">
        <v>0.93619438600000005</v>
      </c>
      <c r="BL11">
        <f t="shared" si="20"/>
        <v>0.93619438600000005</v>
      </c>
      <c r="BM11">
        <v>1.014150822</v>
      </c>
      <c r="BN11">
        <v>1.050437329</v>
      </c>
      <c r="BO11">
        <f t="shared" si="21"/>
        <v>1.014150822</v>
      </c>
      <c r="BP11">
        <v>1.036598259</v>
      </c>
      <c r="BQ11">
        <v>0.95850428700000001</v>
      </c>
      <c r="BR11">
        <f t="shared" si="22"/>
        <v>0.95850428700000001</v>
      </c>
      <c r="BS11">
        <v>1.1119389609999999</v>
      </c>
      <c r="BT11">
        <v>1.081610567</v>
      </c>
      <c r="BU11">
        <f t="shared" si="23"/>
        <v>1.081610567</v>
      </c>
    </row>
    <row r="12" spans="1:73">
      <c r="A12" t="s">
        <v>38</v>
      </c>
      <c r="B12">
        <v>1.053420193</v>
      </c>
      <c r="C12" s="3">
        <v>1.0174647809999999</v>
      </c>
      <c r="D12">
        <f t="shared" si="0"/>
        <v>1.0174647809999999</v>
      </c>
      <c r="E12">
        <v>1.0437109259999999</v>
      </c>
      <c r="F12">
        <v>1.0960426729999999</v>
      </c>
      <c r="G12">
        <f t="shared" si="1"/>
        <v>1.0437109259999999</v>
      </c>
      <c r="H12">
        <v>1.0422280820000001</v>
      </c>
      <c r="I12">
        <v>0.86198942300000003</v>
      </c>
      <c r="J12" s="2">
        <f t="shared" si="2"/>
        <v>0.86198942300000003</v>
      </c>
      <c r="K12">
        <v>1.088867614</v>
      </c>
      <c r="L12">
        <v>1.134409174</v>
      </c>
      <c r="M12">
        <f t="shared" si="3"/>
        <v>1.088867614</v>
      </c>
      <c r="N12">
        <v>0.92374600299999998</v>
      </c>
      <c r="O12">
        <v>0.98069791799999995</v>
      </c>
      <c r="P12">
        <f t="shared" si="4"/>
        <v>0.92374600299999998</v>
      </c>
      <c r="Q12">
        <v>0.91939923199999996</v>
      </c>
      <c r="R12">
        <v>0.965048397</v>
      </c>
      <c r="S12">
        <f t="shared" si="5"/>
        <v>0.91939923199999996</v>
      </c>
      <c r="T12">
        <v>1.207374433</v>
      </c>
      <c r="U12">
        <v>1.211875093</v>
      </c>
      <c r="V12">
        <f t="shared" si="6"/>
        <v>1.207374433</v>
      </c>
      <c r="W12">
        <v>1.129844184</v>
      </c>
      <c r="X12">
        <v>1.1406842370000001</v>
      </c>
      <c r="Y12">
        <f t="shared" si="7"/>
        <v>1.129844184</v>
      </c>
      <c r="Z12">
        <v>0.98544077600000002</v>
      </c>
      <c r="AA12">
        <v>1.0741010630000001</v>
      </c>
      <c r="AB12">
        <f t="shared" si="8"/>
        <v>0.98544077600000002</v>
      </c>
      <c r="AC12">
        <v>1.0633583980000001</v>
      </c>
      <c r="AD12">
        <v>1.0745927609999999</v>
      </c>
      <c r="AE12">
        <f t="shared" si="9"/>
        <v>1.0633583980000001</v>
      </c>
      <c r="AF12">
        <v>1.059895601</v>
      </c>
      <c r="AG12">
        <v>1.0241695479999999</v>
      </c>
      <c r="AH12">
        <f t="shared" si="10"/>
        <v>1.0241695479999999</v>
      </c>
      <c r="AI12">
        <v>1.0520842640000001</v>
      </c>
      <c r="AJ12">
        <v>1.006983966</v>
      </c>
      <c r="AK12">
        <f t="shared" si="11"/>
        <v>1.006983966</v>
      </c>
      <c r="AL12">
        <v>1.1103371479999999</v>
      </c>
      <c r="AM12">
        <v>1.1370388119999999</v>
      </c>
      <c r="AN12">
        <f t="shared" si="12"/>
        <v>1.1103371479999999</v>
      </c>
      <c r="AO12">
        <v>1.136233131</v>
      </c>
      <c r="AP12">
        <v>1.1137779779999999</v>
      </c>
      <c r="AQ12">
        <f t="shared" si="13"/>
        <v>1.1137779779999999</v>
      </c>
      <c r="AR12">
        <v>1.0601292149999999</v>
      </c>
      <c r="AS12">
        <v>1.0446598629999999</v>
      </c>
      <c r="AT12">
        <f t="shared" si="14"/>
        <v>1.0446598629999999</v>
      </c>
      <c r="AU12">
        <v>1.0289299359999999</v>
      </c>
      <c r="AV12">
        <v>1.0517022519999999</v>
      </c>
      <c r="AW12">
        <f t="shared" si="15"/>
        <v>1.0289299359999999</v>
      </c>
      <c r="AX12">
        <v>1.1319929390000001</v>
      </c>
      <c r="AY12">
        <v>1.0807564549999999</v>
      </c>
      <c r="AZ12">
        <f t="shared" si="16"/>
        <v>1.0807564549999999</v>
      </c>
      <c r="BA12">
        <v>0.98345696500000002</v>
      </c>
      <c r="BB12">
        <v>0.94289408200000002</v>
      </c>
      <c r="BC12">
        <f t="shared" si="17"/>
        <v>0.94289408200000002</v>
      </c>
      <c r="BD12">
        <v>1.0990752930000001</v>
      </c>
      <c r="BE12">
        <v>1.101326751</v>
      </c>
      <c r="BF12">
        <f t="shared" si="18"/>
        <v>1.0990752930000001</v>
      </c>
      <c r="BG12">
        <v>1.140858243</v>
      </c>
      <c r="BH12">
        <v>1.0966937430000001</v>
      </c>
      <c r="BI12">
        <f t="shared" si="19"/>
        <v>1.0966937430000001</v>
      </c>
      <c r="BJ12">
        <v>1.1634515889999999</v>
      </c>
      <c r="BK12">
        <v>1.0548725139999999</v>
      </c>
      <c r="BL12">
        <f t="shared" si="20"/>
        <v>1.0548725139999999</v>
      </c>
      <c r="BM12">
        <v>0.97910322500000002</v>
      </c>
      <c r="BN12">
        <v>1.064987862</v>
      </c>
      <c r="BO12">
        <f t="shared" si="21"/>
        <v>0.97910322500000002</v>
      </c>
      <c r="BP12">
        <v>1.1268241379999999</v>
      </c>
      <c r="BQ12">
        <v>0.99607572</v>
      </c>
      <c r="BR12">
        <f t="shared" si="22"/>
        <v>0.99607572</v>
      </c>
      <c r="BS12">
        <v>1.09181175</v>
      </c>
      <c r="BT12">
        <v>1.072886861</v>
      </c>
      <c r="BU12">
        <f t="shared" si="23"/>
        <v>1.072886861</v>
      </c>
    </row>
    <row r="13" spans="1:73">
      <c r="A13" t="s">
        <v>39</v>
      </c>
      <c r="B13">
        <v>1.1141376949999999</v>
      </c>
      <c r="C13">
        <v>1.0946049250000001</v>
      </c>
      <c r="D13">
        <f t="shared" si="0"/>
        <v>1.0946049250000001</v>
      </c>
      <c r="E13">
        <v>1.1000686369999999</v>
      </c>
      <c r="F13">
        <v>1.1187708510000001</v>
      </c>
      <c r="G13">
        <f t="shared" si="1"/>
        <v>1.1000686369999999</v>
      </c>
      <c r="H13">
        <v>0.982097361</v>
      </c>
      <c r="I13">
        <v>0.82793024699999995</v>
      </c>
      <c r="J13" s="2">
        <f t="shared" si="2"/>
        <v>0.82793024699999995</v>
      </c>
      <c r="K13">
        <v>1.074242433</v>
      </c>
      <c r="L13">
        <v>1.1130532900000001</v>
      </c>
      <c r="M13">
        <f t="shared" si="3"/>
        <v>1.074242433</v>
      </c>
      <c r="N13">
        <v>0.996517455</v>
      </c>
      <c r="O13">
        <v>1.0525321459999999</v>
      </c>
      <c r="P13">
        <f t="shared" si="4"/>
        <v>0.996517455</v>
      </c>
      <c r="Q13">
        <v>1.0184039490000001</v>
      </c>
      <c r="R13">
        <v>1.0299723810000001</v>
      </c>
      <c r="S13">
        <f t="shared" si="5"/>
        <v>1.0184039490000001</v>
      </c>
      <c r="T13">
        <v>1.2235655910000001</v>
      </c>
      <c r="U13">
        <v>1.146521581</v>
      </c>
      <c r="V13">
        <f t="shared" si="6"/>
        <v>1.146521581</v>
      </c>
      <c r="W13">
        <v>1.1373203869999999</v>
      </c>
      <c r="X13">
        <v>1.142177663</v>
      </c>
      <c r="Y13">
        <f t="shared" si="7"/>
        <v>1.1373203869999999</v>
      </c>
      <c r="Z13">
        <v>1.0644627760000001</v>
      </c>
      <c r="AA13">
        <v>1.1492235749999999</v>
      </c>
      <c r="AB13">
        <f t="shared" si="8"/>
        <v>1.0644627760000001</v>
      </c>
      <c r="AC13">
        <v>1.114171086</v>
      </c>
      <c r="AD13">
        <v>1.162608391</v>
      </c>
      <c r="AE13">
        <f t="shared" si="9"/>
        <v>1.114171086</v>
      </c>
      <c r="AF13">
        <v>1.097814066</v>
      </c>
      <c r="AG13">
        <v>1.051528719</v>
      </c>
      <c r="AH13">
        <f t="shared" si="10"/>
        <v>1.051528719</v>
      </c>
      <c r="AI13">
        <v>1.0630485759999999</v>
      </c>
      <c r="AJ13">
        <v>1.043052841</v>
      </c>
      <c r="AK13">
        <f t="shared" si="11"/>
        <v>1.043052841</v>
      </c>
      <c r="AL13">
        <v>1.100025577</v>
      </c>
      <c r="AM13">
        <v>1.1325424580000001</v>
      </c>
      <c r="AN13">
        <f t="shared" si="12"/>
        <v>1.100025577</v>
      </c>
      <c r="AO13">
        <v>1.0943882890000001</v>
      </c>
      <c r="AP13">
        <v>1.10191087</v>
      </c>
      <c r="AQ13">
        <f t="shared" si="13"/>
        <v>1.0943882890000001</v>
      </c>
      <c r="AR13">
        <v>1.120707017</v>
      </c>
      <c r="AS13">
        <v>1.0964038780000001</v>
      </c>
      <c r="AT13">
        <f t="shared" si="14"/>
        <v>1.0964038780000001</v>
      </c>
      <c r="AU13">
        <v>1.026206722</v>
      </c>
      <c r="AV13">
        <v>1.0640113680000001</v>
      </c>
      <c r="AW13">
        <f t="shared" si="15"/>
        <v>1.026206722</v>
      </c>
      <c r="AX13">
        <v>1.097136844</v>
      </c>
      <c r="AY13">
        <v>1.108705958</v>
      </c>
      <c r="AZ13">
        <f t="shared" si="16"/>
        <v>1.097136844</v>
      </c>
      <c r="BA13">
        <v>1.0625202520000001</v>
      </c>
      <c r="BB13">
        <v>1.0136433220000001</v>
      </c>
      <c r="BC13">
        <f t="shared" si="17"/>
        <v>1.0136433220000001</v>
      </c>
      <c r="BD13">
        <v>1.1623915469999999</v>
      </c>
      <c r="BE13">
        <v>1.1780017149999999</v>
      </c>
      <c r="BF13">
        <f t="shared" si="18"/>
        <v>1.1623915469999999</v>
      </c>
      <c r="BG13">
        <v>1.148168077</v>
      </c>
      <c r="BH13">
        <v>1.1059822619999999</v>
      </c>
      <c r="BI13">
        <f t="shared" si="19"/>
        <v>1.1059822619999999</v>
      </c>
      <c r="BJ13">
        <v>1.2207725300000001</v>
      </c>
      <c r="BK13">
        <v>1.115749992</v>
      </c>
      <c r="BL13">
        <f t="shared" si="20"/>
        <v>1.115749992</v>
      </c>
      <c r="BM13">
        <v>1.0810078809999999</v>
      </c>
      <c r="BN13">
        <v>1.1856060369999999</v>
      </c>
      <c r="BO13">
        <f t="shared" si="21"/>
        <v>1.0810078809999999</v>
      </c>
      <c r="BP13">
        <v>1.1912655459999999</v>
      </c>
      <c r="BQ13">
        <v>1.0395644239999999</v>
      </c>
      <c r="BR13">
        <f t="shared" si="22"/>
        <v>1.0395644239999999</v>
      </c>
      <c r="BS13">
        <v>1.112695709</v>
      </c>
      <c r="BT13">
        <v>1.077661953</v>
      </c>
      <c r="BU13">
        <f t="shared" si="23"/>
        <v>1.077661953</v>
      </c>
    </row>
    <row r="14" spans="1:73">
      <c r="A14" t="s">
        <v>40</v>
      </c>
      <c r="B14">
        <v>1.085275746</v>
      </c>
      <c r="C14">
        <v>1.0661278590000001</v>
      </c>
      <c r="D14">
        <f t="shared" si="0"/>
        <v>1.0661278590000001</v>
      </c>
      <c r="E14">
        <v>1.1159131799999999</v>
      </c>
      <c r="F14">
        <v>1.0811168280000001</v>
      </c>
      <c r="G14">
        <f t="shared" si="1"/>
        <v>1.0811168280000001</v>
      </c>
      <c r="H14">
        <v>1.013750317</v>
      </c>
      <c r="I14">
        <v>0.91604048900000001</v>
      </c>
      <c r="J14" s="2">
        <f t="shared" si="2"/>
        <v>0.91604048900000001</v>
      </c>
      <c r="K14">
        <v>1.033083513</v>
      </c>
      <c r="L14">
        <v>1.0492906239999999</v>
      </c>
      <c r="M14">
        <f t="shared" si="3"/>
        <v>1.033083513</v>
      </c>
      <c r="N14">
        <v>1.046411741</v>
      </c>
      <c r="O14">
        <v>1.09728264</v>
      </c>
      <c r="P14">
        <f t="shared" si="4"/>
        <v>1.046411741</v>
      </c>
      <c r="Q14">
        <v>1.052100724</v>
      </c>
      <c r="R14">
        <v>1.0417798760000001</v>
      </c>
      <c r="S14">
        <f t="shared" si="5"/>
        <v>1.0417798760000001</v>
      </c>
      <c r="T14">
        <v>1.1033144580000001</v>
      </c>
      <c r="U14">
        <v>1.0795905770000001</v>
      </c>
      <c r="V14">
        <f t="shared" si="6"/>
        <v>1.0795905770000001</v>
      </c>
      <c r="W14">
        <v>1.0449992530000001</v>
      </c>
      <c r="X14">
        <v>1.0629722450000001</v>
      </c>
      <c r="Y14">
        <f t="shared" si="7"/>
        <v>1.0449992530000001</v>
      </c>
      <c r="Z14">
        <v>1.048745601</v>
      </c>
      <c r="AA14">
        <v>1.0961829489999999</v>
      </c>
      <c r="AB14">
        <f t="shared" si="8"/>
        <v>1.048745601</v>
      </c>
      <c r="AC14">
        <v>1.094318568</v>
      </c>
      <c r="AD14">
        <v>1.1289180249999999</v>
      </c>
      <c r="AE14">
        <f t="shared" si="9"/>
        <v>1.094318568</v>
      </c>
      <c r="AF14">
        <v>1.037865112</v>
      </c>
      <c r="AG14">
        <v>1.0369821109999999</v>
      </c>
      <c r="AH14">
        <f t="shared" si="10"/>
        <v>1.0369821109999999</v>
      </c>
      <c r="AI14">
        <v>1.0251971339999999</v>
      </c>
      <c r="AJ14">
        <v>1.028747452</v>
      </c>
      <c r="AK14">
        <f t="shared" si="11"/>
        <v>1.0251971339999999</v>
      </c>
      <c r="AL14">
        <v>1.0728702429999999</v>
      </c>
      <c r="AM14">
        <v>1.0778941740000001</v>
      </c>
      <c r="AN14">
        <f t="shared" si="12"/>
        <v>1.0728702429999999</v>
      </c>
      <c r="AO14">
        <v>1.025398542</v>
      </c>
      <c r="AP14">
        <v>1.0447110900000001</v>
      </c>
      <c r="AQ14">
        <f t="shared" si="13"/>
        <v>1.025398542</v>
      </c>
      <c r="AR14">
        <v>1.0585541030000001</v>
      </c>
      <c r="AS14">
        <v>1.0428030230000001</v>
      </c>
      <c r="AT14">
        <f t="shared" si="14"/>
        <v>1.0428030230000001</v>
      </c>
      <c r="AU14">
        <v>0.98825491799999998</v>
      </c>
      <c r="AV14">
        <v>1.034409868</v>
      </c>
      <c r="AW14">
        <f t="shared" si="15"/>
        <v>0.98825491799999998</v>
      </c>
      <c r="AX14">
        <v>0.98693555200000005</v>
      </c>
      <c r="AY14">
        <v>1.0382023739999999</v>
      </c>
      <c r="AZ14">
        <f t="shared" si="16"/>
        <v>0.98693555200000005</v>
      </c>
      <c r="BA14">
        <v>1.064189037</v>
      </c>
      <c r="BB14">
        <v>1.013310699</v>
      </c>
      <c r="BC14">
        <f t="shared" si="17"/>
        <v>1.013310699</v>
      </c>
      <c r="BD14">
        <v>1.1299600460000001</v>
      </c>
      <c r="BE14">
        <v>1.176783143</v>
      </c>
      <c r="BF14">
        <f t="shared" si="18"/>
        <v>1.1299600460000001</v>
      </c>
      <c r="BG14">
        <v>1.078938218</v>
      </c>
      <c r="BH14">
        <v>1.0282810419999999</v>
      </c>
      <c r="BI14">
        <f t="shared" si="19"/>
        <v>1.0282810419999999</v>
      </c>
      <c r="BJ14">
        <v>1.1274806509999999</v>
      </c>
      <c r="BK14">
        <v>1.1221145459999999</v>
      </c>
      <c r="BL14">
        <f t="shared" si="20"/>
        <v>1.1221145459999999</v>
      </c>
      <c r="BM14">
        <v>1.082420497</v>
      </c>
      <c r="BN14">
        <v>1.176293407</v>
      </c>
      <c r="BO14">
        <f t="shared" si="21"/>
        <v>1.082420497</v>
      </c>
      <c r="BP14">
        <v>1.1429460149999999</v>
      </c>
      <c r="BQ14">
        <v>1.073307585</v>
      </c>
      <c r="BR14">
        <f t="shared" si="22"/>
        <v>1.073307585</v>
      </c>
      <c r="BS14">
        <v>1.062438953</v>
      </c>
      <c r="BT14">
        <v>1.0265258049999999</v>
      </c>
      <c r="BU14">
        <f t="shared" si="23"/>
        <v>1.0265258049999999</v>
      </c>
    </row>
    <row r="15" spans="1:73">
      <c r="A15" t="s">
        <v>41</v>
      </c>
      <c r="B15">
        <v>1.0864267940000001</v>
      </c>
      <c r="C15">
        <v>1.1072554299999999</v>
      </c>
      <c r="D15">
        <f t="shared" si="0"/>
        <v>1.0864267940000001</v>
      </c>
      <c r="E15">
        <v>1.040309513</v>
      </c>
      <c r="F15">
        <v>1.0499694740000001</v>
      </c>
      <c r="G15">
        <f t="shared" si="1"/>
        <v>1.040309513</v>
      </c>
      <c r="H15">
        <v>0.90160497399999995</v>
      </c>
      <c r="I15">
        <v>0.89438977099999994</v>
      </c>
      <c r="J15" s="2">
        <f t="shared" si="2"/>
        <v>0.89438977099999994</v>
      </c>
      <c r="K15">
        <v>1.0143377</v>
      </c>
      <c r="L15">
        <v>1.023934009</v>
      </c>
      <c r="M15">
        <f t="shared" si="3"/>
        <v>1.0143377</v>
      </c>
      <c r="N15">
        <v>1.037861578</v>
      </c>
      <c r="O15">
        <v>1.0358360499999999</v>
      </c>
      <c r="P15">
        <f t="shared" si="4"/>
        <v>1.0358360499999999</v>
      </c>
      <c r="Q15">
        <v>1.081595646</v>
      </c>
      <c r="R15">
        <v>1.061427162</v>
      </c>
      <c r="S15">
        <f t="shared" si="5"/>
        <v>1.061427162</v>
      </c>
      <c r="T15">
        <v>1.1099561179999999</v>
      </c>
      <c r="U15">
        <v>0.97212367700000002</v>
      </c>
      <c r="V15">
        <f t="shared" si="6"/>
        <v>0.97212367700000002</v>
      </c>
      <c r="W15">
        <v>1.082201983</v>
      </c>
      <c r="X15">
        <v>1.062249623</v>
      </c>
      <c r="Y15">
        <f t="shared" si="7"/>
        <v>1.062249623</v>
      </c>
      <c r="Z15">
        <v>1.100456007</v>
      </c>
      <c r="AA15">
        <v>1.122571794</v>
      </c>
      <c r="AB15">
        <f t="shared" si="8"/>
        <v>1.100456007</v>
      </c>
      <c r="AC15">
        <v>1.0663016569999999</v>
      </c>
      <c r="AD15">
        <v>1.1178352140000001</v>
      </c>
      <c r="AE15">
        <f t="shared" si="9"/>
        <v>1.0663016569999999</v>
      </c>
      <c r="AF15">
        <v>1.0910641210000001</v>
      </c>
      <c r="AG15">
        <v>1.040398589</v>
      </c>
      <c r="AH15">
        <f t="shared" si="10"/>
        <v>1.040398589</v>
      </c>
      <c r="AI15">
        <v>1.0422194279999999</v>
      </c>
      <c r="AJ15">
        <v>1.0512140400000001</v>
      </c>
      <c r="AK15">
        <f t="shared" si="11"/>
        <v>1.0422194279999999</v>
      </c>
      <c r="AL15">
        <v>1.0033825080000001</v>
      </c>
      <c r="AM15">
        <v>1.0329205189999999</v>
      </c>
      <c r="AN15">
        <f t="shared" si="12"/>
        <v>1.0033825080000001</v>
      </c>
      <c r="AO15">
        <v>1.0069317229999999</v>
      </c>
      <c r="AP15">
        <v>1.029927244</v>
      </c>
      <c r="AQ15">
        <f t="shared" si="13"/>
        <v>1.0069317229999999</v>
      </c>
      <c r="AR15">
        <v>1.1172226999999999</v>
      </c>
      <c r="AS15">
        <v>1.101311055</v>
      </c>
      <c r="AT15">
        <f t="shared" si="14"/>
        <v>1.101311055</v>
      </c>
      <c r="AU15">
        <v>1.0301703259999999</v>
      </c>
      <c r="AV15">
        <v>1.0358475199999999</v>
      </c>
      <c r="AW15">
        <f t="shared" si="15"/>
        <v>1.0301703259999999</v>
      </c>
      <c r="AX15">
        <v>1.053971491</v>
      </c>
      <c r="AY15">
        <v>1.0883305350000001</v>
      </c>
      <c r="AZ15">
        <f t="shared" si="16"/>
        <v>1.053971491</v>
      </c>
      <c r="BA15">
        <v>1.084181464</v>
      </c>
      <c r="BB15">
        <v>1.081460525</v>
      </c>
      <c r="BC15">
        <f t="shared" si="17"/>
        <v>1.081460525</v>
      </c>
      <c r="BD15">
        <v>1.0878378609999999</v>
      </c>
      <c r="BE15">
        <v>1.072138426</v>
      </c>
      <c r="BF15">
        <f t="shared" si="18"/>
        <v>1.072138426</v>
      </c>
      <c r="BG15">
        <v>1.058933369</v>
      </c>
      <c r="BH15">
        <v>1.0736778199999999</v>
      </c>
      <c r="BI15">
        <f t="shared" si="19"/>
        <v>1.058933369</v>
      </c>
      <c r="BJ15">
        <v>1.1326199429999999</v>
      </c>
      <c r="BK15">
        <v>1.0529647179999999</v>
      </c>
      <c r="BL15">
        <f t="shared" si="20"/>
        <v>1.0529647179999999</v>
      </c>
      <c r="BM15">
        <v>1.109158957</v>
      </c>
      <c r="BN15">
        <v>1.1303216030000001</v>
      </c>
      <c r="BO15">
        <f t="shared" si="21"/>
        <v>1.109158957</v>
      </c>
      <c r="BP15">
        <v>1.1012513070000001</v>
      </c>
      <c r="BQ15">
        <v>1.0145672379999999</v>
      </c>
      <c r="BR15">
        <f t="shared" si="22"/>
        <v>1.0145672379999999</v>
      </c>
      <c r="BS15">
        <v>1.0604269639999999</v>
      </c>
      <c r="BT15">
        <v>1.046104776</v>
      </c>
      <c r="BU15">
        <f t="shared" si="23"/>
        <v>1.046104776</v>
      </c>
    </row>
    <row r="16" spans="1:73">
      <c r="A16" t="s">
        <v>42</v>
      </c>
      <c r="B16">
        <v>1.098692172</v>
      </c>
      <c r="C16">
        <v>1.0560255569999999</v>
      </c>
      <c r="D16">
        <f t="shared" si="0"/>
        <v>1.0560255569999999</v>
      </c>
      <c r="E16">
        <v>1.012768259</v>
      </c>
      <c r="F16">
        <v>1.077974159</v>
      </c>
      <c r="G16">
        <f t="shared" si="1"/>
        <v>1.012768259</v>
      </c>
      <c r="H16">
        <v>0.94969560900000005</v>
      </c>
      <c r="I16">
        <v>0.93645421699999998</v>
      </c>
      <c r="J16" s="2">
        <f t="shared" si="2"/>
        <v>0.93645421699999998</v>
      </c>
      <c r="K16">
        <v>1.056082961</v>
      </c>
      <c r="L16">
        <v>1.0569154000000001</v>
      </c>
      <c r="M16">
        <f t="shared" si="3"/>
        <v>1.056082961</v>
      </c>
      <c r="N16">
        <v>0.98893600699999995</v>
      </c>
      <c r="O16">
        <v>1.0062128079999999</v>
      </c>
      <c r="P16">
        <f t="shared" si="4"/>
        <v>0.98893600699999995</v>
      </c>
      <c r="Q16">
        <v>0.95132548299999997</v>
      </c>
      <c r="R16">
        <v>0.967638636</v>
      </c>
      <c r="S16">
        <f t="shared" si="5"/>
        <v>0.95132548299999997</v>
      </c>
      <c r="T16">
        <v>1.138377752</v>
      </c>
      <c r="U16">
        <v>1.1172346230000001</v>
      </c>
      <c r="V16">
        <f t="shared" si="6"/>
        <v>1.1172346230000001</v>
      </c>
      <c r="W16">
        <v>1.074222212</v>
      </c>
      <c r="X16">
        <v>1.0784950149999999</v>
      </c>
      <c r="Y16">
        <f t="shared" si="7"/>
        <v>1.074222212</v>
      </c>
      <c r="Z16">
        <v>1.0342127459999999</v>
      </c>
      <c r="AA16">
        <v>1.0437204360000001</v>
      </c>
      <c r="AB16">
        <f t="shared" si="8"/>
        <v>1.0342127459999999</v>
      </c>
      <c r="AC16">
        <v>1.0914382149999999</v>
      </c>
      <c r="AD16">
        <v>1.077902374</v>
      </c>
      <c r="AE16">
        <f t="shared" si="9"/>
        <v>1.077902374</v>
      </c>
      <c r="AF16">
        <v>1.043041001</v>
      </c>
      <c r="AG16">
        <v>1.0088452080000001</v>
      </c>
      <c r="AH16">
        <f t="shared" si="10"/>
        <v>1.0088452080000001</v>
      </c>
      <c r="AI16">
        <v>1.0810031149999999</v>
      </c>
      <c r="AJ16">
        <v>1.0433738589999999</v>
      </c>
      <c r="AK16">
        <f t="shared" si="11"/>
        <v>1.0433738589999999</v>
      </c>
      <c r="AL16">
        <v>1.0948364909999999</v>
      </c>
      <c r="AM16">
        <v>1.1259531700000001</v>
      </c>
      <c r="AN16">
        <f t="shared" si="12"/>
        <v>1.0948364909999999</v>
      </c>
      <c r="AO16">
        <v>1.0364516420000001</v>
      </c>
      <c r="AP16">
        <v>1.0663378160000001</v>
      </c>
      <c r="AQ16">
        <f t="shared" si="13"/>
        <v>1.0364516420000001</v>
      </c>
      <c r="AR16">
        <v>1.017662568</v>
      </c>
      <c r="AS16">
        <v>1.05306765</v>
      </c>
      <c r="AT16">
        <f t="shared" si="14"/>
        <v>1.017662568</v>
      </c>
      <c r="AU16">
        <v>1.036011523</v>
      </c>
      <c r="AV16">
        <v>1.0515950430000001</v>
      </c>
      <c r="AW16">
        <f t="shared" si="15"/>
        <v>1.036011523</v>
      </c>
      <c r="AX16">
        <v>1.131395323</v>
      </c>
      <c r="AY16">
        <v>1.0880623490000001</v>
      </c>
      <c r="AZ16">
        <f t="shared" si="16"/>
        <v>1.0880623490000001</v>
      </c>
      <c r="BA16">
        <v>1.015622724</v>
      </c>
      <c r="BB16">
        <v>1.0286632899999999</v>
      </c>
      <c r="BC16">
        <f t="shared" si="17"/>
        <v>1.015622724</v>
      </c>
      <c r="BD16">
        <v>1.086408225</v>
      </c>
      <c r="BE16">
        <v>1.1167884720000001</v>
      </c>
      <c r="BF16">
        <f t="shared" si="18"/>
        <v>1.086408225</v>
      </c>
      <c r="BG16">
        <v>1.071384662</v>
      </c>
      <c r="BH16">
        <v>1.07072028</v>
      </c>
      <c r="BI16">
        <f t="shared" si="19"/>
        <v>1.07072028</v>
      </c>
      <c r="BJ16">
        <v>1.1372588539999999</v>
      </c>
      <c r="BK16">
        <v>1.0617736470000001</v>
      </c>
      <c r="BL16">
        <f t="shared" si="20"/>
        <v>1.0617736470000001</v>
      </c>
      <c r="BM16">
        <v>0.99021313700000002</v>
      </c>
      <c r="BN16">
        <v>1.050349778</v>
      </c>
      <c r="BO16">
        <f t="shared" si="21"/>
        <v>0.99021313700000002</v>
      </c>
      <c r="BP16">
        <v>1.1189926480000001</v>
      </c>
      <c r="BQ16">
        <v>1.0727084339999999</v>
      </c>
      <c r="BR16">
        <f t="shared" si="22"/>
        <v>1.0727084339999999</v>
      </c>
      <c r="BS16">
        <v>1.0802987399999999</v>
      </c>
      <c r="BT16">
        <v>1.0170867779999999</v>
      </c>
      <c r="BU16">
        <f t="shared" si="23"/>
        <v>1.0170867779999999</v>
      </c>
    </row>
    <row r="17" spans="1:73">
      <c r="A17" t="s">
        <v>43</v>
      </c>
      <c r="B17">
        <v>1.16961307</v>
      </c>
      <c r="C17">
        <v>1.143198808</v>
      </c>
      <c r="D17">
        <f t="shared" si="0"/>
        <v>1.143198808</v>
      </c>
      <c r="E17">
        <v>0.98629571100000002</v>
      </c>
      <c r="F17">
        <v>0.99917234099999996</v>
      </c>
      <c r="G17">
        <f t="shared" si="1"/>
        <v>0.98629571100000002</v>
      </c>
      <c r="H17">
        <v>1.1068330310000001</v>
      </c>
      <c r="I17">
        <v>0.96197734400000001</v>
      </c>
      <c r="J17">
        <f t="shared" si="2"/>
        <v>0.96197734400000001</v>
      </c>
      <c r="K17">
        <v>1.054092137</v>
      </c>
      <c r="L17">
        <v>1.0588165730000001</v>
      </c>
      <c r="M17">
        <f t="shared" si="3"/>
        <v>1.054092137</v>
      </c>
      <c r="N17">
        <v>0.92077094299999995</v>
      </c>
      <c r="O17">
        <v>0.99484974599999998</v>
      </c>
      <c r="P17">
        <f t="shared" si="4"/>
        <v>0.92077094299999995</v>
      </c>
      <c r="Q17">
        <v>0.88778478100000002</v>
      </c>
      <c r="R17">
        <v>0.99538611600000004</v>
      </c>
      <c r="S17">
        <f t="shared" si="5"/>
        <v>0.88778478100000002</v>
      </c>
      <c r="T17">
        <v>1.147945258</v>
      </c>
      <c r="U17">
        <v>1.154730174</v>
      </c>
      <c r="V17">
        <f t="shared" si="6"/>
        <v>1.147945258</v>
      </c>
      <c r="W17">
        <v>1.0692522179999999</v>
      </c>
      <c r="X17">
        <v>1.0720936219999999</v>
      </c>
      <c r="Y17">
        <f t="shared" si="7"/>
        <v>1.0692522179999999</v>
      </c>
      <c r="Z17">
        <v>0.95622369900000004</v>
      </c>
      <c r="AA17">
        <v>1.0646396440000001</v>
      </c>
      <c r="AB17">
        <f t="shared" si="8"/>
        <v>0.95622369900000004</v>
      </c>
      <c r="AC17">
        <v>1.053370159</v>
      </c>
      <c r="AD17">
        <v>1.091641238</v>
      </c>
      <c r="AE17">
        <f t="shared" si="9"/>
        <v>1.053370159</v>
      </c>
      <c r="AF17">
        <v>1.0832111499999999</v>
      </c>
      <c r="AG17">
        <v>0.98746273799999995</v>
      </c>
      <c r="AH17">
        <f t="shared" si="10"/>
        <v>0.98746273799999995</v>
      </c>
      <c r="AI17">
        <v>0.77438678100000002</v>
      </c>
      <c r="AJ17">
        <v>0.86485816100000001</v>
      </c>
      <c r="AK17" s="2">
        <f t="shared" si="11"/>
        <v>0.77438678100000002</v>
      </c>
      <c r="AL17">
        <v>0.97132239099999995</v>
      </c>
      <c r="AM17">
        <v>1.000251515</v>
      </c>
      <c r="AN17">
        <f t="shared" si="12"/>
        <v>0.97132239099999995</v>
      </c>
      <c r="AO17">
        <v>0.91853336500000005</v>
      </c>
      <c r="AP17">
        <v>0.94817275999999995</v>
      </c>
      <c r="AQ17">
        <f t="shared" si="13"/>
        <v>0.91853336500000005</v>
      </c>
      <c r="AR17">
        <v>1.009820913</v>
      </c>
      <c r="AS17">
        <v>1.0810264730000001</v>
      </c>
      <c r="AT17">
        <f t="shared" si="14"/>
        <v>1.009820913</v>
      </c>
      <c r="AU17">
        <v>0.956757301</v>
      </c>
      <c r="AV17">
        <v>0.94682467800000003</v>
      </c>
      <c r="AW17">
        <f t="shared" si="15"/>
        <v>0.94682467800000003</v>
      </c>
      <c r="AX17">
        <v>1.0495463819999999</v>
      </c>
      <c r="AY17">
        <v>1.1038208899999999</v>
      </c>
      <c r="AZ17">
        <f t="shared" si="16"/>
        <v>1.0495463819999999</v>
      </c>
      <c r="BA17">
        <v>1.106687341</v>
      </c>
      <c r="BB17">
        <v>1.058567008</v>
      </c>
      <c r="BC17">
        <f t="shared" si="17"/>
        <v>1.058567008</v>
      </c>
      <c r="BD17">
        <v>1.1126456840000001</v>
      </c>
      <c r="BE17">
        <v>1.163200209</v>
      </c>
      <c r="BF17">
        <f t="shared" si="18"/>
        <v>1.1126456840000001</v>
      </c>
      <c r="BG17">
        <v>1.0066228989999999</v>
      </c>
      <c r="BH17">
        <v>1.0177486659999999</v>
      </c>
      <c r="BI17">
        <f t="shared" si="19"/>
        <v>1.0066228989999999</v>
      </c>
      <c r="BJ17">
        <v>1.2246261869999999</v>
      </c>
      <c r="BK17">
        <v>1.168866926</v>
      </c>
      <c r="BL17">
        <f t="shared" si="20"/>
        <v>1.168866926</v>
      </c>
      <c r="BM17">
        <v>0.99820493799999999</v>
      </c>
      <c r="BN17">
        <v>1.03143988</v>
      </c>
      <c r="BO17">
        <f t="shared" si="21"/>
        <v>0.99820493799999999</v>
      </c>
      <c r="BP17">
        <v>1.1652447189999999</v>
      </c>
      <c r="BQ17">
        <v>1.0899292439999999</v>
      </c>
      <c r="BR17">
        <f t="shared" si="22"/>
        <v>1.0899292439999999</v>
      </c>
      <c r="BS17">
        <v>0.96732275300000004</v>
      </c>
      <c r="BT17">
        <v>0.86626038800000005</v>
      </c>
      <c r="BU17">
        <f t="shared" si="23"/>
        <v>0.86626038800000005</v>
      </c>
    </row>
    <row r="18" spans="1:73">
      <c r="A18" t="s">
        <v>44</v>
      </c>
      <c r="B18">
        <v>1.094488839</v>
      </c>
      <c r="C18">
        <v>1.032662905</v>
      </c>
      <c r="D18">
        <f t="shared" si="0"/>
        <v>1.032662905</v>
      </c>
      <c r="E18">
        <v>0.99521461700000002</v>
      </c>
      <c r="F18">
        <v>1.0327768799999999</v>
      </c>
      <c r="G18">
        <f t="shared" si="1"/>
        <v>0.99521461700000002</v>
      </c>
      <c r="H18">
        <v>1.0001391550000001</v>
      </c>
      <c r="I18">
        <v>1.0258225620000001</v>
      </c>
      <c r="J18">
        <f t="shared" si="2"/>
        <v>1.0001391550000001</v>
      </c>
      <c r="K18">
        <v>1.0362690750000001</v>
      </c>
      <c r="L18">
        <v>1.009322823</v>
      </c>
      <c r="M18">
        <f t="shared" si="3"/>
        <v>1.009322823</v>
      </c>
      <c r="N18">
        <v>0.95478365499999995</v>
      </c>
      <c r="O18">
        <v>1.052392494</v>
      </c>
      <c r="P18">
        <f t="shared" si="4"/>
        <v>0.95478365499999995</v>
      </c>
      <c r="Q18">
        <v>0.91070580499999998</v>
      </c>
      <c r="R18">
        <v>0.955975244</v>
      </c>
      <c r="S18">
        <f t="shared" si="5"/>
        <v>0.91070580499999998</v>
      </c>
      <c r="T18">
        <v>1.1250602409999999</v>
      </c>
      <c r="U18">
        <v>1.095276221</v>
      </c>
      <c r="V18">
        <f t="shared" si="6"/>
        <v>1.095276221</v>
      </c>
      <c r="W18">
        <v>1.127044784</v>
      </c>
      <c r="X18">
        <v>1.1292937830000001</v>
      </c>
      <c r="Y18">
        <f t="shared" si="7"/>
        <v>1.127044784</v>
      </c>
      <c r="Z18">
        <v>1.0759355049999999</v>
      </c>
      <c r="AA18">
        <v>1.19098638</v>
      </c>
      <c r="AB18">
        <f t="shared" si="8"/>
        <v>1.0759355049999999</v>
      </c>
      <c r="AC18">
        <v>1.0283849190000001</v>
      </c>
      <c r="AD18">
        <v>1.0546106260000001</v>
      </c>
      <c r="AE18">
        <f t="shared" si="9"/>
        <v>1.0283849190000001</v>
      </c>
      <c r="AF18">
        <v>1.0722890650000001</v>
      </c>
      <c r="AG18">
        <v>1.0392043769999999</v>
      </c>
      <c r="AH18">
        <f t="shared" si="10"/>
        <v>1.0392043769999999</v>
      </c>
      <c r="AI18">
        <v>0.84849959699999999</v>
      </c>
      <c r="AJ18">
        <v>0.87900455899999996</v>
      </c>
      <c r="AK18" s="2">
        <f t="shared" si="11"/>
        <v>0.84849959699999999</v>
      </c>
      <c r="AL18">
        <v>0.936952275</v>
      </c>
      <c r="AM18">
        <v>1.044850504</v>
      </c>
      <c r="AN18">
        <f t="shared" si="12"/>
        <v>0.936952275</v>
      </c>
      <c r="AO18">
        <v>0.92760007899999997</v>
      </c>
      <c r="AP18">
        <v>0.971810434</v>
      </c>
      <c r="AQ18">
        <f t="shared" si="13"/>
        <v>0.92760007899999997</v>
      </c>
      <c r="AR18">
        <v>1.094592268</v>
      </c>
      <c r="AS18">
        <v>1.127667336</v>
      </c>
      <c r="AT18">
        <f t="shared" si="14"/>
        <v>1.094592268</v>
      </c>
      <c r="AU18">
        <v>1.0303635360000001</v>
      </c>
      <c r="AV18">
        <v>1.0456438450000001</v>
      </c>
      <c r="AW18">
        <f t="shared" si="15"/>
        <v>1.0303635360000001</v>
      </c>
      <c r="AX18">
        <v>1.1224643050000001</v>
      </c>
      <c r="AY18">
        <v>1.1349419329999999</v>
      </c>
      <c r="AZ18">
        <f t="shared" si="16"/>
        <v>1.1224643050000001</v>
      </c>
      <c r="BA18">
        <v>1.1585443980000001</v>
      </c>
      <c r="BB18">
        <v>1.1411483170000001</v>
      </c>
      <c r="BC18">
        <f t="shared" si="17"/>
        <v>1.1411483170000001</v>
      </c>
      <c r="BD18">
        <v>0.991944677</v>
      </c>
      <c r="BE18">
        <v>1.064999652</v>
      </c>
      <c r="BF18">
        <f t="shared" si="18"/>
        <v>0.991944677</v>
      </c>
      <c r="BG18">
        <v>1.026374125</v>
      </c>
      <c r="BH18">
        <v>0.99515160800000002</v>
      </c>
      <c r="BI18">
        <f t="shared" si="19"/>
        <v>0.99515160800000002</v>
      </c>
      <c r="BJ18">
        <v>1.2076513040000001</v>
      </c>
      <c r="BK18">
        <v>1.067199582</v>
      </c>
      <c r="BL18">
        <f t="shared" si="20"/>
        <v>1.067199582</v>
      </c>
      <c r="BM18">
        <v>1.000975816</v>
      </c>
      <c r="BN18">
        <v>1.034782874</v>
      </c>
      <c r="BO18">
        <f t="shared" si="21"/>
        <v>1.000975816</v>
      </c>
      <c r="BP18">
        <v>1.048570429</v>
      </c>
      <c r="BQ18">
        <v>1.077108658</v>
      </c>
      <c r="BR18">
        <f t="shared" si="22"/>
        <v>1.048570429</v>
      </c>
      <c r="BS18">
        <v>0.98346267399999998</v>
      </c>
      <c r="BT18">
        <v>0.92053197799999997</v>
      </c>
      <c r="BU18">
        <f t="shared" si="23"/>
        <v>0.92053197799999997</v>
      </c>
    </row>
    <row r="19" spans="1:73">
      <c r="A19" t="s">
        <v>45</v>
      </c>
      <c r="B19">
        <v>1.1152072740000001</v>
      </c>
      <c r="C19">
        <v>1.121594159</v>
      </c>
      <c r="D19">
        <f t="shared" si="0"/>
        <v>1.1152072740000001</v>
      </c>
      <c r="E19">
        <v>0.93484677599999999</v>
      </c>
      <c r="F19">
        <v>0.99840021099999998</v>
      </c>
      <c r="G19">
        <f t="shared" si="1"/>
        <v>0.93484677599999999</v>
      </c>
      <c r="H19">
        <v>1.001437213</v>
      </c>
      <c r="I19">
        <v>0.950965693</v>
      </c>
      <c r="J19">
        <f t="shared" si="2"/>
        <v>0.950965693</v>
      </c>
      <c r="K19">
        <v>1.0370729110000001</v>
      </c>
      <c r="L19">
        <v>1.015832514</v>
      </c>
      <c r="M19">
        <f t="shared" si="3"/>
        <v>1.015832514</v>
      </c>
      <c r="N19">
        <v>1.012429711</v>
      </c>
      <c r="O19">
        <v>1.0515896250000001</v>
      </c>
      <c r="P19">
        <f t="shared" si="4"/>
        <v>1.012429711</v>
      </c>
      <c r="Q19">
        <v>0.88292029999999999</v>
      </c>
      <c r="R19">
        <v>0.97409824</v>
      </c>
      <c r="S19">
        <f t="shared" si="5"/>
        <v>0.88292029999999999</v>
      </c>
      <c r="T19">
        <v>1.172926914</v>
      </c>
      <c r="U19">
        <v>1.09998712</v>
      </c>
      <c r="V19">
        <f t="shared" si="6"/>
        <v>1.09998712</v>
      </c>
      <c r="W19">
        <v>1.1279451579999999</v>
      </c>
      <c r="X19">
        <v>1.0944130910000001</v>
      </c>
      <c r="Y19">
        <f t="shared" si="7"/>
        <v>1.0944130910000001</v>
      </c>
      <c r="Z19">
        <v>1.0222808830000001</v>
      </c>
      <c r="AA19">
        <v>1.1519297020000001</v>
      </c>
      <c r="AB19">
        <f t="shared" si="8"/>
        <v>1.0222808830000001</v>
      </c>
      <c r="AC19">
        <v>1.127406683</v>
      </c>
      <c r="AD19">
        <v>1.145237082</v>
      </c>
      <c r="AE19">
        <f t="shared" si="9"/>
        <v>1.127406683</v>
      </c>
      <c r="AF19">
        <v>1.058114979</v>
      </c>
      <c r="AG19">
        <v>0.94297221600000003</v>
      </c>
      <c r="AH19">
        <f t="shared" si="10"/>
        <v>0.94297221600000003</v>
      </c>
      <c r="AI19">
        <v>0.84651512200000001</v>
      </c>
      <c r="AJ19">
        <v>0.82700601500000004</v>
      </c>
      <c r="AK19" s="2">
        <f t="shared" si="11"/>
        <v>0.82700601500000004</v>
      </c>
      <c r="AL19">
        <v>1.007120775</v>
      </c>
      <c r="AM19">
        <v>1.0135985320000001</v>
      </c>
      <c r="AN19">
        <f t="shared" si="12"/>
        <v>1.007120775</v>
      </c>
      <c r="AO19">
        <v>0.93413370399999995</v>
      </c>
      <c r="AP19">
        <v>0.97451681099999998</v>
      </c>
      <c r="AQ19">
        <f t="shared" si="13"/>
        <v>0.93413370399999995</v>
      </c>
      <c r="AR19">
        <v>1.1043708510000001</v>
      </c>
      <c r="AS19">
        <v>1.1064357339999999</v>
      </c>
      <c r="AT19">
        <f t="shared" si="14"/>
        <v>1.1043708510000001</v>
      </c>
      <c r="AU19">
        <v>0.93585539799999995</v>
      </c>
      <c r="AV19">
        <v>1.004371489</v>
      </c>
      <c r="AW19">
        <f t="shared" si="15"/>
        <v>0.93585539799999995</v>
      </c>
      <c r="AX19">
        <v>1.097201611</v>
      </c>
      <c r="AY19">
        <v>1.1327046919999999</v>
      </c>
      <c r="AZ19">
        <f t="shared" si="16"/>
        <v>1.097201611</v>
      </c>
      <c r="BA19">
        <v>1.160828669</v>
      </c>
      <c r="BB19">
        <v>1.1217713119999999</v>
      </c>
      <c r="BC19">
        <f t="shared" si="17"/>
        <v>1.1217713119999999</v>
      </c>
      <c r="BD19">
        <v>1.152080099</v>
      </c>
      <c r="BE19">
        <v>1.1397594559999999</v>
      </c>
      <c r="BF19">
        <f t="shared" si="18"/>
        <v>1.1397594559999999</v>
      </c>
      <c r="BG19">
        <v>1.0219739249999999</v>
      </c>
      <c r="BH19">
        <v>0.98982029999999999</v>
      </c>
      <c r="BI19">
        <f t="shared" si="19"/>
        <v>0.98982029999999999</v>
      </c>
      <c r="BJ19">
        <v>1.2354258069999999</v>
      </c>
      <c r="BK19">
        <v>1.1773676609999999</v>
      </c>
      <c r="BL19">
        <f t="shared" si="20"/>
        <v>1.1773676609999999</v>
      </c>
      <c r="BM19">
        <v>1.022657218</v>
      </c>
      <c r="BN19">
        <v>1.0756000999999999</v>
      </c>
      <c r="BO19">
        <f t="shared" si="21"/>
        <v>1.022657218</v>
      </c>
      <c r="BP19">
        <v>1.135717396</v>
      </c>
      <c r="BQ19">
        <v>1.0977493060000001</v>
      </c>
      <c r="BR19">
        <f t="shared" si="22"/>
        <v>1.0977493060000001</v>
      </c>
      <c r="BS19">
        <v>0.94997031399999998</v>
      </c>
      <c r="BT19">
        <v>0.89545919600000001</v>
      </c>
      <c r="BU19">
        <f t="shared" si="23"/>
        <v>0.89545919600000001</v>
      </c>
    </row>
    <row r="20" spans="1:73">
      <c r="A20" t="s">
        <v>26</v>
      </c>
      <c r="B20">
        <v>0.53208986199999997</v>
      </c>
      <c r="C20">
        <v>0.67391832900000004</v>
      </c>
      <c r="E20">
        <v>0.95097198100000002</v>
      </c>
      <c r="F20">
        <v>0.957218601</v>
      </c>
      <c r="H20">
        <v>1.1388614399999999</v>
      </c>
      <c r="I20">
        <v>1.1107710660000001</v>
      </c>
      <c r="K20">
        <v>0.96981985299999995</v>
      </c>
      <c r="L20">
        <v>1.0274068089999999</v>
      </c>
      <c r="N20">
        <v>1.0203426040000001</v>
      </c>
      <c r="O20">
        <v>0.94348225900000005</v>
      </c>
      <c r="Q20">
        <v>0.961379133</v>
      </c>
      <c r="R20">
        <v>0.90302852899999997</v>
      </c>
      <c r="T20">
        <v>1.1253473249999999</v>
      </c>
      <c r="U20">
        <v>1.08760755</v>
      </c>
      <c r="W20">
        <v>1.010853271</v>
      </c>
      <c r="X20">
        <v>1.0530906799999999</v>
      </c>
      <c r="Z20">
        <v>0.96548740099999997</v>
      </c>
      <c r="AA20">
        <v>0.99848071800000004</v>
      </c>
      <c r="AC20">
        <v>1.0489266850000001</v>
      </c>
      <c r="AD20">
        <v>1.078321093</v>
      </c>
      <c r="AF20">
        <v>0.96279935800000005</v>
      </c>
      <c r="AG20">
        <v>1.0044292720000001</v>
      </c>
      <c r="AI20">
        <v>1.138312687</v>
      </c>
      <c r="AJ20">
        <v>1.0614735930000001</v>
      </c>
      <c r="AL20">
        <v>1.0426533120000001</v>
      </c>
      <c r="AM20">
        <v>0.98126087500000003</v>
      </c>
      <c r="AO20">
        <v>1.0698517999999999</v>
      </c>
      <c r="AP20">
        <v>1.0860660680000001</v>
      </c>
      <c r="AR20">
        <v>1.0782079019999999</v>
      </c>
      <c r="AS20">
        <v>1.066981282</v>
      </c>
      <c r="AU20">
        <v>1.0303650090000001</v>
      </c>
      <c r="AV20">
        <v>1.059245451</v>
      </c>
      <c r="AX20">
        <v>1.0135608890000001</v>
      </c>
      <c r="AY20">
        <v>1.011707841</v>
      </c>
      <c r="BA20">
        <v>0.94501803500000003</v>
      </c>
      <c r="BB20">
        <v>1.041811445</v>
      </c>
      <c r="BD20">
        <v>1.0520907660000001</v>
      </c>
      <c r="BE20">
        <v>0.97605757500000001</v>
      </c>
      <c r="BG20">
        <v>1.1342539599999999</v>
      </c>
      <c r="BH20">
        <v>1.026592358</v>
      </c>
      <c r="BJ20">
        <v>0.94441328899999999</v>
      </c>
      <c r="BK20">
        <v>0.96304493199999996</v>
      </c>
      <c r="BM20">
        <v>0.974364542</v>
      </c>
      <c r="BN20">
        <v>0.89365936199999996</v>
      </c>
      <c r="BP20">
        <v>0.86536338499999998</v>
      </c>
      <c r="BQ20">
        <v>0.84573999600000005</v>
      </c>
      <c r="BS20">
        <v>0.93995784299999996</v>
      </c>
      <c r="BT20">
        <v>1.067297766</v>
      </c>
    </row>
    <row r="21" spans="1:73">
      <c r="A21" t="s">
        <v>27</v>
      </c>
      <c r="B21">
        <v>1.08470566</v>
      </c>
      <c r="C21">
        <v>1.138810329</v>
      </c>
      <c r="E21">
        <v>0.73287724700000001</v>
      </c>
      <c r="F21">
        <v>0.70291315700000001</v>
      </c>
      <c r="H21">
        <v>1.0265660050000001</v>
      </c>
      <c r="I21">
        <v>0.93655492500000004</v>
      </c>
      <c r="K21">
        <v>0.99339358799999999</v>
      </c>
      <c r="L21">
        <v>0.95908246399999997</v>
      </c>
      <c r="N21">
        <v>1.0812126470000001</v>
      </c>
      <c r="O21">
        <v>0.96474322499999998</v>
      </c>
      <c r="Q21">
        <v>0.98355993399999997</v>
      </c>
      <c r="R21">
        <v>1.0933120810000001</v>
      </c>
      <c r="T21">
        <v>1.0502406520000001</v>
      </c>
      <c r="U21">
        <v>1.019238168</v>
      </c>
      <c r="W21">
        <v>1.0200456979999999</v>
      </c>
      <c r="X21">
        <v>0.98214755300000001</v>
      </c>
      <c r="Z21">
        <v>1.0161880860000001</v>
      </c>
      <c r="AA21">
        <v>1.0642025049999999</v>
      </c>
      <c r="AC21">
        <v>1.1944068109999999</v>
      </c>
      <c r="AD21">
        <v>1.2152968850000001</v>
      </c>
      <c r="AF21">
        <v>1.0820185529999999</v>
      </c>
      <c r="AG21">
        <v>1.099082508</v>
      </c>
      <c r="AI21">
        <v>0.85862138899999996</v>
      </c>
      <c r="AJ21">
        <v>0.88154347399999999</v>
      </c>
      <c r="AL21">
        <v>0.91605577900000001</v>
      </c>
      <c r="AM21">
        <v>0.88216956800000002</v>
      </c>
      <c r="AO21">
        <v>0.89110485399999995</v>
      </c>
      <c r="AP21">
        <v>0.89368477400000002</v>
      </c>
      <c r="AR21">
        <v>1.0041441900000001</v>
      </c>
      <c r="AS21">
        <v>1.027944798</v>
      </c>
      <c r="AU21">
        <v>0.83031779999999999</v>
      </c>
      <c r="AV21">
        <v>0.92994400799999999</v>
      </c>
      <c r="AX21">
        <v>0.94165761100000001</v>
      </c>
      <c r="AY21">
        <v>0.95591853100000002</v>
      </c>
      <c r="BA21">
        <v>1.1799819499999999</v>
      </c>
      <c r="BB21">
        <v>1.139693168</v>
      </c>
      <c r="BD21">
        <v>1.1728713340000001</v>
      </c>
      <c r="BE21">
        <v>1.1326142699999999</v>
      </c>
      <c r="BG21">
        <v>0.89164715400000005</v>
      </c>
      <c r="BH21">
        <v>0.90452243300000001</v>
      </c>
      <c r="BJ21">
        <v>1.0698864050000001</v>
      </c>
      <c r="BK21">
        <v>1.221439663</v>
      </c>
      <c r="BM21">
        <v>1.0870625389999999</v>
      </c>
      <c r="BN21">
        <v>1.1770118899999999</v>
      </c>
      <c r="BP21">
        <v>1.1199152160000001</v>
      </c>
      <c r="BQ21">
        <v>1.0890154620000001</v>
      </c>
      <c r="BS21">
        <v>0.95060527900000003</v>
      </c>
      <c r="BT21">
        <v>0.91115069900000001</v>
      </c>
    </row>
    <row r="22" spans="1:73">
      <c r="A22" t="s">
        <v>28</v>
      </c>
      <c r="B22">
        <v>1.125005576</v>
      </c>
      <c r="C22">
        <v>1.1276385579999999</v>
      </c>
      <c r="E22">
        <v>1.06606092</v>
      </c>
      <c r="F22">
        <v>1.0487589799999999</v>
      </c>
      <c r="H22">
        <v>0.50485292500000001</v>
      </c>
      <c r="I22">
        <v>0.788722743</v>
      </c>
      <c r="K22">
        <v>0.89568400500000001</v>
      </c>
      <c r="L22">
        <v>0.82489339699999997</v>
      </c>
      <c r="N22">
        <v>1.1984062660000001</v>
      </c>
      <c r="O22">
        <v>1.053873072</v>
      </c>
      <c r="Q22">
        <v>1.2368329849999999</v>
      </c>
      <c r="R22">
        <v>1.228774603</v>
      </c>
      <c r="T22">
        <v>0.92674995699999996</v>
      </c>
      <c r="U22">
        <v>0.82271405099999995</v>
      </c>
      <c r="W22">
        <v>1.037339273</v>
      </c>
      <c r="X22">
        <v>0.99745509399999999</v>
      </c>
      <c r="Z22">
        <v>1.100795704</v>
      </c>
      <c r="AA22">
        <v>0.98686781700000004</v>
      </c>
      <c r="AC22">
        <v>0.99059737199999998</v>
      </c>
      <c r="AD22">
        <v>1.097403337</v>
      </c>
      <c r="AF22">
        <v>0.96993406100000001</v>
      </c>
      <c r="AG22">
        <v>1.0096567780000001</v>
      </c>
      <c r="AI22">
        <v>1.16602128</v>
      </c>
      <c r="AJ22">
        <v>1.0467599359999999</v>
      </c>
      <c r="AL22">
        <v>0.97007507500000001</v>
      </c>
      <c r="AM22">
        <v>0.97256301700000003</v>
      </c>
      <c r="AO22">
        <v>1.049096593</v>
      </c>
      <c r="AP22">
        <v>1.0344053070000001</v>
      </c>
      <c r="AR22">
        <v>1.0638999</v>
      </c>
      <c r="AS22">
        <v>1.0484274650000001</v>
      </c>
      <c r="AU22">
        <v>0.95798093799999995</v>
      </c>
      <c r="AV22">
        <v>1.0647467310000001</v>
      </c>
      <c r="AX22">
        <v>0.95505818399999998</v>
      </c>
      <c r="AY22">
        <v>0.911213512</v>
      </c>
      <c r="BA22">
        <v>0.95068939600000002</v>
      </c>
      <c r="BB22">
        <v>1.004406538</v>
      </c>
      <c r="BD22">
        <v>1.1388573259999999</v>
      </c>
      <c r="BE22">
        <v>1.0597339379999999</v>
      </c>
      <c r="BG22">
        <v>0.94970465400000004</v>
      </c>
      <c r="BH22">
        <v>0.97111701900000003</v>
      </c>
      <c r="BJ22">
        <v>0.89008480999999995</v>
      </c>
      <c r="BK22">
        <v>0.94427580700000002</v>
      </c>
      <c r="BM22">
        <v>1.159715786</v>
      </c>
      <c r="BN22">
        <v>1.1357970449999999</v>
      </c>
      <c r="BP22">
        <v>1.0936616219999999</v>
      </c>
      <c r="BQ22">
        <v>1.0576062719999999</v>
      </c>
      <c r="BS22">
        <v>1.056157456</v>
      </c>
      <c r="BT22">
        <v>0.91281486300000003</v>
      </c>
    </row>
    <row r="23" spans="1:73">
      <c r="A23" t="s">
        <v>46</v>
      </c>
      <c r="B23">
        <v>1.0676494729999999</v>
      </c>
      <c r="C23">
        <v>1.1319164960000001</v>
      </c>
      <c r="E23">
        <v>1.0491994440000001</v>
      </c>
      <c r="F23">
        <v>0.93632821399999999</v>
      </c>
      <c r="H23">
        <v>0.92532268600000001</v>
      </c>
      <c r="I23">
        <v>1.0122185290000001</v>
      </c>
      <c r="K23">
        <v>0.55703158799999997</v>
      </c>
      <c r="L23">
        <v>0.42997055299999998</v>
      </c>
      <c r="N23">
        <v>1.3073730640000001</v>
      </c>
      <c r="O23">
        <v>1.068589309</v>
      </c>
      <c r="Q23">
        <v>1.210724337</v>
      </c>
      <c r="R23">
        <v>1.2219172549999999</v>
      </c>
      <c r="T23">
        <v>0.94594045900000001</v>
      </c>
      <c r="U23">
        <v>0.85680246800000004</v>
      </c>
      <c r="W23">
        <v>0.84434434599999997</v>
      </c>
      <c r="X23">
        <v>0.81889604599999999</v>
      </c>
      <c r="Z23">
        <v>1.029518623</v>
      </c>
      <c r="AA23">
        <v>1.016731072</v>
      </c>
      <c r="AC23">
        <v>1.0089825400000001</v>
      </c>
      <c r="AD23">
        <v>1.1122181339999999</v>
      </c>
      <c r="AF23">
        <v>0.95986704</v>
      </c>
      <c r="AG23">
        <v>0.99870814600000002</v>
      </c>
      <c r="AI23">
        <v>1.043252429</v>
      </c>
      <c r="AJ23">
        <v>1.003025928</v>
      </c>
      <c r="AL23">
        <v>0.81987823400000004</v>
      </c>
      <c r="AM23">
        <v>0.83829533099999998</v>
      </c>
      <c r="AO23">
        <v>0.88918282400000004</v>
      </c>
      <c r="AP23">
        <v>0.89223234500000004</v>
      </c>
      <c r="AR23">
        <v>1.0430373909999999</v>
      </c>
      <c r="AS23">
        <v>1.067686798</v>
      </c>
      <c r="AU23">
        <v>0.98564989400000003</v>
      </c>
      <c r="AV23">
        <v>1.0282780309999999</v>
      </c>
      <c r="AX23">
        <v>0.92880769799999996</v>
      </c>
      <c r="AY23">
        <v>1.0089424899999999</v>
      </c>
      <c r="BA23">
        <v>1.120364363</v>
      </c>
      <c r="BB23">
        <v>1.131476688</v>
      </c>
      <c r="BD23">
        <v>1.151278241</v>
      </c>
      <c r="BE23">
        <v>1.1028994919999999</v>
      </c>
      <c r="BG23">
        <v>0.83591216899999998</v>
      </c>
      <c r="BH23">
        <v>0.90048226799999997</v>
      </c>
      <c r="BJ23">
        <v>0.90408653999999999</v>
      </c>
      <c r="BK23">
        <v>1.0310639269999999</v>
      </c>
      <c r="BM23">
        <v>1.201994872</v>
      </c>
      <c r="BN23">
        <v>1.0741743239999999</v>
      </c>
      <c r="BP23">
        <v>1.037134217</v>
      </c>
      <c r="BQ23">
        <v>1.0568442389999999</v>
      </c>
      <c r="BS23">
        <v>1.011514249</v>
      </c>
      <c r="BT23">
        <v>0.96805765200000005</v>
      </c>
    </row>
    <row r="24" spans="1:73">
      <c r="A24" t="s">
        <v>47</v>
      </c>
      <c r="B24">
        <v>1.0460273819999999</v>
      </c>
      <c r="C24">
        <v>1.0541820399999999</v>
      </c>
      <c r="E24">
        <v>0.78831172800000004</v>
      </c>
      <c r="F24">
        <v>0.84195941100000005</v>
      </c>
      <c r="H24">
        <v>1.1364059500000001</v>
      </c>
      <c r="I24">
        <v>0.87656884499999999</v>
      </c>
      <c r="K24">
        <v>1.084589037</v>
      </c>
      <c r="L24">
        <v>1.1623847089999999</v>
      </c>
      <c r="N24">
        <v>0.64931447600000003</v>
      </c>
      <c r="O24">
        <v>0.57301115499999999</v>
      </c>
      <c r="Q24">
        <v>0.768278511</v>
      </c>
      <c r="R24">
        <v>0.852470956</v>
      </c>
      <c r="T24">
        <v>1.3306664130000001</v>
      </c>
      <c r="U24">
        <v>1.2436234939999999</v>
      </c>
      <c r="W24">
        <v>1.098712066</v>
      </c>
      <c r="X24">
        <v>1.1395848180000001</v>
      </c>
      <c r="Z24">
        <v>0.97483599099999996</v>
      </c>
      <c r="AA24">
        <v>1.030140039</v>
      </c>
      <c r="AC24">
        <v>0.95502730700000005</v>
      </c>
      <c r="AD24">
        <v>1.0584813829999999</v>
      </c>
      <c r="AF24">
        <v>1.057425914</v>
      </c>
      <c r="AG24">
        <v>1.013976322</v>
      </c>
      <c r="AI24">
        <v>0.96834631500000001</v>
      </c>
      <c r="AJ24">
        <v>0.97464168299999998</v>
      </c>
      <c r="AL24">
        <v>1.055009748</v>
      </c>
      <c r="AM24">
        <v>1.0932950100000001</v>
      </c>
      <c r="AO24">
        <v>0.96185342900000004</v>
      </c>
      <c r="AP24">
        <v>1.0613334940000001</v>
      </c>
      <c r="AR24">
        <v>0.98635481599999997</v>
      </c>
      <c r="AS24">
        <v>1.07328275</v>
      </c>
      <c r="AU24">
        <v>1.0516332509999999</v>
      </c>
      <c r="AV24">
        <v>1.0291868930000001</v>
      </c>
      <c r="AX24">
        <v>1.187215701</v>
      </c>
      <c r="AY24">
        <v>1.168474156</v>
      </c>
      <c r="BA24">
        <v>0.96058108099999995</v>
      </c>
      <c r="BB24">
        <v>0.93963196900000001</v>
      </c>
      <c r="BD24">
        <v>1.139296155</v>
      </c>
      <c r="BE24">
        <v>1.0752481949999999</v>
      </c>
      <c r="BG24">
        <v>1.1283340310000001</v>
      </c>
      <c r="BH24">
        <v>1.1057819470000001</v>
      </c>
      <c r="BJ24">
        <v>1.1364175139999999</v>
      </c>
      <c r="BK24">
        <v>0.98782867699999999</v>
      </c>
      <c r="BM24">
        <v>0.91803168800000001</v>
      </c>
      <c r="BN24">
        <v>0.96368737100000001</v>
      </c>
      <c r="BP24">
        <v>1.020507947</v>
      </c>
      <c r="BQ24">
        <v>0.93898324099999997</v>
      </c>
      <c r="BS24">
        <v>0.98816871799999995</v>
      </c>
      <c r="BT24">
        <v>1.022816454</v>
      </c>
    </row>
    <row r="25" spans="1:73">
      <c r="A25" t="s">
        <v>48</v>
      </c>
      <c r="B25">
        <v>0.99769623500000004</v>
      </c>
      <c r="C25">
        <v>1.0252761109999999</v>
      </c>
      <c r="E25">
        <v>0.87627839699999999</v>
      </c>
      <c r="F25">
        <v>0.94032749400000004</v>
      </c>
      <c r="H25">
        <v>1.2156897870000001</v>
      </c>
      <c r="I25">
        <v>1.0224760079999999</v>
      </c>
      <c r="K25">
        <v>1.0991381389999999</v>
      </c>
      <c r="L25">
        <v>1.1467076439999999</v>
      </c>
      <c r="N25">
        <v>0.84444030199999998</v>
      </c>
      <c r="O25">
        <v>0.86938204500000005</v>
      </c>
      <c r="Q25">
        <v>0.378314013</v>
      </c>
      <c r="R25">
        <v>0.55443605500000004</v>
      </c>
      <c r="T25">
        <v>1.191509629</v>
      </c>
      <c r="U25">
        <v>1.3077112769999999</v>
      </c>
      <c r="W25">
        <v>1.0137063749999999</v>
      </c>
      <c r="X25">
        <v>1.0784070640000001</v>
      </c>
      <c r="Z25">
        <v>0.90164924099999999</v>
      </c>
      <c r="AA25">
        <v>1.0580578410000001</v>
      </c>
      <c r="AC25">
        <v>1.027566314</v>
      </c>
      <c r="AD25">
        <v>1.0823917590000001</v>
      </c>
      <c r="AF25">
        <v>1.090437302</v>
      </c>
      <c r="AG25">
        <v>0.99860555799999995</v>
      </c>
      <c r="AI25">
        <v>0.76534509100000003</v>
      </c>
      <c r="AJ25">
        <v>0.87471159099999996</v>
      </c>
      <c r="AL25">
        <v>1.0376039690000001</v>
      </c>
      <c r="AM25">
        <v>0.98625221799999996</v>
      </c>
      <c r="AO25">
        <v>0.92376977299999996</v>
      </c>
      <c r="AP25">
        <v>0.96709602400000005</v>
      </c>
      <c r="AR25">
        <v>0.97020913099999995</v>
      </c>
      <c r="AS25">
        <v>1.046468113</v>
      </c>
      <c r="AU25">
        <v>0.95808096899999995</v>
      </c>
      <c r="AV25">
        <v>0.898605506</v>
      </c>
      <c r="AX25">
        <v>1.06256068</v>
      </c>
      <c r="AY25">
        <v>0.93839732799999998</v>
      </c>
      <c r="BA25">
        <v>0.94960938500000003</v>
      </c>
      <c r="BB25">
        <v>0.99710653999999999</v>
      </c>
      <c r="BD25">
        <v>1.120217485</v>
      </c>
      <c r="BE25">
        <v>1.093246648</v>
      </c>
      <c r="BG25">
        <v>1.0429056370000001</v>
      </c>
      <c r="BH25">
        <v>1.0107073879999999</v>
      </c>
      <c r="BJ25">
        <v>1.2025475189999999</v>
      </c>
      <c r="BK25">
        <v>1.195955007</v>
      </c>
      <c r="BM25">
        <v>0.88155421199999995</v>
      </c>
      <c r="BN25">
        <v>0.81657431000000003</v>
      </c>
      <c r="BP25">
        <v>1.051878383</v>
      </c>
      <c r="BQ25">
        <v>1.033629846</v>
      </c>
      <c r="BS25">
        <v>0.88697033999999997</v>
      </c>
      <c r="BT25">
        <v>0.93490757499999999</v>
      </c>
    </row>
    <row r="26" spans="1:73">
      <c r="A26" t="s">
        <v>49</v>
      </c>
      <c r="B26">
        <v>1.0102024890000001</v>
      </c>
      <c r="C26">
        <v>1.08663775</v>
      </c>
      <c r="E26">
        <v>1.0788281909999999</v>
      </c>
      <c r="F26">
        <v>1.037817226</v>
      </c>
      <c r="H26">
        <v>0.91580213600000004</v>
      </c>
      <c r="I26">
        <v>1.1315774709999999</v>
      </c>
      <c r="K26">
        <v>0.97100030199999998</v>
      </c>
      <c r="L26">
        <v>0.90952473899999997</v>
      </c>
      <c r="N26">
        <v>1.218285968</v>
      </c>
      <c r="O26">
        <v>1.1348873049999999</v>
      </c>
      <c r="Q26">
        <v>1.2834814859999999</v>
      </c>
      <c r="R26">
        <v>1.2103344389999999</v>
      </c>
      <c r="T26">
        <v>0.58934366400000004</v>
      </c>
      <c r="U26">
        <v>0.30011380399999998</v>
      </c>
      <c r="W26">
        <v>0.90635909999999997</v>
      </c>
      <c r="X26">
        <v>0.85558780800000001</v>
      </c>
      <c r="Z26">
        <v>1.0385499540000001</v>
      </c>
      <c r="AA26">
        <v>0.86790057300000001</v>
      </c>
      <c r="AC26">
        <v>0.98189749100000001</v>
      </c>
      <c r="AD26">
        <v>1.0080585179999999</v>
      </c>
      <c r="AF26">
        <v>0.95059454899999996</v>
      </c>
      <c r="AG26">
        <v>1.0527178699999999</v>
      </c>
      <c r="AI26">
        <v>1.175133344</v>
      </c>
      <c r="AJ26">
        <v>1.1094042159999999</v>
      </c>
      <c r="AL26">
        <v>0.89631510400000003</v>
      </c>
      <c r="AM26">
        <v>0.85282732000000006</v>
      </c>
      <c r="AO26">
        <v>1.0049527410000001</v>
      </c>
      <c r="AP26">
        <v>0.98441663599999996</v>
      </c>
      <c r="AR26">
        <v>1.087157253</v>
      </c>
      <c r="AS26">
        <v>1.083026085</v>
      </c>
      <c r="AU26">
        <v>0.95669257600000002</v>
      </c>
      <c r="AV26">
        <v>1.003789536</v>
      </c>
      <c r="AX26">
        <v>0.71997238900000005</v>
      </c>
      <c r="AY26">
        <v>0.80926627100000004</v>
      </c>
      <c r="BA26">
        <v>0.95514232899999996</v>
      </c>
      <c r="BB26">
        <v>1.0213581439999999</v>
      </c>
      <c r="BD26">
        <v>0.99379704300000005</v>
      </c>
      <c r="BE26">
        <v>0.95531558900000002</v>
      </c>
      <c r="BG26">
        <v>0.88907718000000002</v>
      </c>
      <c r="BH26">
        <v>0.92107419999999995</v>
      </c>
      <c r="BJ26">
        <v>0.78839784099999999</v>
      </c>
      <c r="BK26">
        <v>0.92719819299999995</v>
      </c>
      <c r="BM26">
        <v>1.065602596</v>
      </c>
      <c r="BN26">
        <v>1.056117529</v>
      </c>
      <c r="BP26">
        <v>0.93202228399999998</v>
      </c>
      <c r="BQ26">
        <v>1.0348485599999999</v>
      </c>
      <c r="BS26">
        <v>0.96474698599999997</v>
      </c>
      <c r="BT26">
        <v>0.97074441199999995</v>
      </c>
    </row>
    <row r="27" spans="1:73">
      <c r="A27" t="s">
        <v>50</v>
      </c>
      <c r="B27">
        <v>1.006304321</v>
      </c>
      <c r="C27">
        <v>1.104056892</v>
      </c>
      <c r="E27">
        <v>1.0997981619999999</v>
      </c>
      <c r="F27">
        <v>0.96679000999999998</v>
      </c>
      <c r="H27">
        <v>1.10261235</v>
      </c>
      <c r="I27">
        <v>1.013336233</v>
      </c>
      <c r="K27">
        <v>0.93087640100000002</v>
      </c>
      <c r="L27">
        <v>0.81020202799999996</v>
      </c>
      <c r="N27">
        <v>1.182175835</v>
      </c>
      <c r="O27">
        <v>0.95180611599999998</v>
      </c>
      <c r="Q27">
        <v>1.179917509</v>
      </c>
      <c r="R27">
        <v>1.181448794</v>
      </c>
      <c r="T27">
        <v>0.92243470400000005</v>
      </c>
      <c r="U27">
        <v>0.97073760099999995</v>
      </c>
      <c r="W27">
        <v>0.51484682699999995</v>
      </c>
      <c r="X27">
        <v>0.43771031300000002</v>
      </c>
      <c r="Z27">
        <v>0.91132043799999995</v>
      </c>
      <c r="AA27">
        <v>0.83558825999999997</v>
      </c>
      <c r="AC27">
        <v>1.022259072</v>
      </c>
      <c r="AD27">
        <v>1.076417897</v>
      </c>
      <c r="AF27">
        <v>0.95267985700000002</v>
      </c>
      <c r="AG27">
        <v>0.94614765499999998</v>
      </c>
      <c r="AI27">
        <v>0.93964546299999996</v>
      </c>
      <c r="AJ27">
        <v>1.0381366679999999</v>
      </c>
      <c r="AL27">
        <v>1.0573068349999999</v>
      </c>
      <c r="AM27">
        <v>0.94703453800000004</v>
      </c>
      <c r="AO27">
        <v>0.78870385600000004</v>
      </c>
      <c r="AP27">
        <v>0.830107131</v>
      </c>
      <c r="AR27">
        <v>0.873651752</v>
      </c>
      <c r="AS27">
        <v>0.924647671</v>
      </c>
      <c r="AU27">
        <v>0.97297132099999994</v>
      </c>
      <c r="AV27">
        <v>0.98885944400000003</v>
      </c>
      <c r="AX27">
        <v>0.84647598499999999</v>
      </c>
      <c r="AY27">
        <v>0.91006266800000002</v>
      </c>
      <c r="BA27">
        <v>1.024750968</v>
      </c>
      <c r="BB27">
        <v>0.99499673600000005</v>
      </c>
      <c r="BD27">
        <v>1.1372668500000001</v>
      </c>
      <c r="BE27">
        <v>1.1199817670000001</v>
      </c>
      <c r="BG27">
        <v>0.91907165700000004</v>
      </c>
      <c r="BH27">
        <v>0.98081863700000005</v>
      </c>
      <c r="BJ27">
        <v>0.85170889900000002</v>
      </c>
      <c r="BK27">
        <v>1.0554201459999999</v>
      </c>
      <c r="BM27">
        <v>1.134243334</v>
      </c>
      <c r="BN27">
        <v>0.98597047000000004</v>
      </c>
      <c r="BP27">
        <v>1.0660407350000001</v>
      </c>
      <c r="BQ27">
        <v>1.1047902979999999</v>
      </c>
      <c r="BS27">
        <v>0.86182633600000003</v>
      </c>
      <c r="BT27">
        <v>0.955019587</v>
      </c>
    </row>
    <row r="28" spans="1:73">
      <c r="A28" t="s">
        <v>51</v>
      </c>
      <c r="B28">
        <v>1.0032969009999999</v>
      </c>
      <c r="C28">
        <v>1.119268062</v>
      </c>
      <c r="E28">
        <v>1.006323726</v>
      </c>
      <c r="F28">
        <v>1.0076376300000001</v>
      </c>
      <c r="H28">
        <v>0.98448040400000003</v>
      </c>
      <c r="I28">
        <v>1.0145797409999999</v>
      </c>
      <c r="K28">
        <v>0.95801764899999997</v>
      </c>
      <c r="L28">
        <v>0.90437361999999999</v>
      </c>
      <c r="N28">
        <v>1.0600827070000001</v>
      </c>
      <c r="O28">
        <v>0.93741215899999997</v>
      </c>
      <c r="Q28">
        <v>1.133911353</v>
      </c>
      <c r="R28">
        <v>1.105269805</v>
      </c>
      <c r="T28">
        <v>0.98773042799999999</v>
      </c>
      <c r="U28">
        <v>0.89795297900000004</v>
      </c>
      <c r="W28">
        <v>0.89161155800000003</v>
      </c>
      <c r="X28">
        <v>0.86878030900000003</v>
      </c>
      <c r="Z28">
        <v>0.62353279699999997</v>
      </c>
      <c r="AA28">
        <v>0.61518693499999999</v>
      </c>
      <c r="AC28">
        <v>0.88052010199999997</v>
      </c>
      <c r="AD28">
        <v>0.97474714600000001</v>
      </c>
      <c r="AF28">
        <v>0.94587010599999999</v>
      </c>
      <c r="AG28">
        <v>0.97314045100000002</v>
      </c>
      <c r="AI28">
        <v>1.1104215740000001</v>
      </c>
      <c r="AJ28">
        <v>1.090771406</v>
      </c>
      <c r="AL28">
        <v>1.0808175170000001</v>
      </c>
      <c r="AM28">
        <v>1.049987687</v>
      </c>
      <c r="AO28">
        <v>0.97874814700000001</v>
      </c>
      <c r="AP28">
        <v>0.94815628799999996</v>
      </c>
      <c r="AR28">
        <v>0.94632680199999997</v>
      </c>
      <c r="AS28">
        <v>0.95436655400000003</v>
      </c>
      <c r="AU28">
        <v>1.003382242</v>
      </c>
      <c r="AV28">
        <v>1.0430256579999999</v>
      </c>
      <c r="AX28">
        <v>1.018585598</v>
      </c>
      <c r="AY28">
        <v>1.0210027749999999</v>
      </c>
      <c r="BA28">
        <v>0.86295935800000001</v>
      </c>
      <c r="BB28">
        <v>0.89667201600000002</v>
      </c>
      <c r="BD28">
        <v>1.1211756930000001</v>
      </c>
      <c r="BE28">
        <v>1.020333575</v>
      </c>
      <c r="BG28">
        <v>1.0470483079999999</v>
      </c>
      <c r="BH28">
        <v>1.062566436</v>
      </c>
      <c r="BJ28">
        <v>0.88332613500000001</v>
      </c>
      <c r="BK28">
        <v>0.86616089200000002</v>
      </c>
      <c r="BM28">
        <v>1.043971714</v>
      </c>
      <c r="BN28">
        <v>1.0902107270000001</v>
      </c>
      <c r="BP28">
        <v>1.033464266</v>
      </c>
      <c r="BQ28">
        <v>1.009530067</v>
      </c>
      <c r="BS28">
        <v>1.013326494</v>
      </c>
      <c r="BT28">
        <v>1.068307422</v>
      </c>
    </row>
    <row r="29" spans="1:73">
      <c r="A29" t="s">
        <v>52</v>
      </c>
      <c r="B29">
        <v>1.0561061789999999</v>
      </c>
      <c r="C29">
        <v>1.0740168029999999</v>
      </c>
      <c r="E29">
        <v>0.92598407000000005</v>
      </c>
      <c r="F29">
        <v>0.97668686500000002</v>
      </c>
      <c r="H29">
        <v>1.081413484</v>
      </c>
      <c r="I29">
        <v>1.0475956870000001</v>
      </c>
      <c r="K29">
        <v>1.096434798</v>
      </c>
      <c r="L29">
        <v>1.1230619040000001</v>
      </c>
      <c r="N29">
        <v>0.85285491400000002</v>
      </c>
      <c r="O29">
        <v>0.86867861599999996</v>
      </c>
      <c r="Q29">
        <v>0.93831163299999998</v>
      </c>
      <c r="R29">
        <v>0.89334319399999995</v>
      </c>
      <c r="T29">
        <v>1.121093608</v>
      </c>
      <c r="U29">
        <v>1.0158790879999999</v>
      </c>
      <c r="W29">
        <v>1.04726312</v>
      </c>
      <c r="X29">
        <v>1.084989609</v>
      </c>
      <c r="Z29">
        <v>0.95798940600000004</v>
      </c>
      <c r="AA29">
        <v>0.98680629399999997</v>
      </c>
      <c r="AC29">
        <v>0.55727647899999999</v>
      </c>
      <c r="AD29">
        <v>0.68256765600000002</v>
      </c>
      <c r="AF29">
        <v>1.037451685</v>
      </c>
      <c r="AG29">
        <v>1.0820937289999999</v>
      </c>
      <c r="AI29">
        <v>0.96444949700000004</v>
      </c>
      <c r="AJ29">
        <v>1.0271412630000001</v>
      </c>
      <c r="AL29">
        <v>0.95368115600000003</v>
      </c>
      <c r="AM29">
        <v>1.075478757</v>
      </c>
      <c r="AO29">
        <v>1.0291032950000001</v>
      </c>
      <c r="AP29">
        <v>1.1114935459999999</v>
      </c>
      <c r="AR29">
        <v>1.0048054609999999</v>
      </c>
      <c r="AS29">
        <v>1.086192474</v>
      </c>
      <c r="AU29">
        <v>1.045144724</v>
      </c>
      <c r="AV29">
        <v>0.98721542799999995</v>
      </c>
      <c r="AX29">
        <v>1.03130707</v>
      </c>
      <c r="AY29">
        <v>1.108818072</v>
      </c>
      <c r="BA29">
        <v>0.84619767800000001</v>
      </c>
      <c r="BB29">
        <v>0.87160984100000005</v>
      </c>
      <c r="BD29">
        <v>1.0050842870000001</v>
      </c>
      <c r="BE29">
        <v>0.96856051499999996</v>
      </c>
      <c r="BG29">
        <v>1.105025411</v>
      </c>
      <c r="BH29">
        <v>1.0312986120000001</v>
      </c>
      <c r="BJ29">
        <v>0.96052475599999998</v>
      </c>
      <c r="BK29">
        <v>0.86987588699999996</v>
      </c>
      <c r="BM29">
        <v>1.0664611070000001</v>
      </c>
      <c r="BN29">
        <v>0.95590196800000005</v>
      </c>
      <c r="BP29">
        <v>1.00820295</v>
      </c>
      <c r="BQ29">
        <v>1.002295355</v>
      </c>
      <c r="BS29">
        <v>0.99621158899999995</v>
      </c>
      <c r="BT29">
        <v>1.126917079</v>
      </c>
    </row>
    <row r="30" spans="1:73">
      <c r="A30" t="s">
        <v>53</v>
      </c>
      <c r="B30">
        <v>1.082432464</v>
      </c>
      <c r="C30">
        <v>1.2288965430000001</v>
      </c>
      <c r="E30">
        <v>0.995319226</v>
      </c>
      <c r="F30">
        <v>0.95837667100000001</v>
      </c>
      <c r="H30">
        <v>1.016677091</v>
      </c>
      <c r="I30">
        <v>0.94569935100000002</v>
      </c>
      <c r="K30">
        <v>0.95445343900000001</v>
      </c>
      <c r="L30">
        <v>0.89914548400000005</v>
      </c>
      <c r="N30">
        <v>1.1503190729999999</v>
      </c>
      <c r="O30">
        <v>0.90476992199999995</v>
      </c>
      <c r="Q30">
        <v>1.174509018</v>
      </c>
      <c r="R30">
        <v>1.1375048160000001</v>
      </c>
      <c r="T30">
        <v>1.068338268</v>
      </c>
      <c r="U30">
        <v>1.024975484</v>
      </c>
      <c r="W30">
        <v>0.94260054999999998</v>
      </c>
      <c r="X30">
        <v>0.833589833</v>
      </c>
      <c r="Z30">
        <v>0.88398796499999999</v>
      </c>
      <c r="AA30">
        <v>0.87827077200000003</v>
      </c>
      <c r="AC30">
        <v>1.055445177</v>
      </c>
      <c r="AD30">
        <v>1.1211529689999999</v>
      </c>
      <c r="AF30">
        <v>0.74054094199999998</v>
      </c>
      <c r="AG30">
        <v>0.78660238800000004</v>
      </c>
      <c r="AI30">
        <v>1.0122534219999999</v>
      </c>
      <c r="AJ30">
        <v>1.0134369860000001</v>
      </c>
      <c r="AL30">
        <v>1.065851755</v>
      </c>
      <c r="AM30">
        <v>1.021141281</v>
      </c>
      <c r="AO30">
        <v>0.96387023100000002</v>
      </c>
      <c r="AP30">
        <v>0.93475154800000004</v>
      </c>
      <c r="AR30">
        <v>0.84891043399999999</v>
      </c>
      <c r="AS30">
        <v>0.87201118499999997</v>
      </c>
      <c r="AU30">
        <v>0.97467055899999999</v>
      </c>
      <c r="AV30">
        <v>0.94223180500000003</v>
      </c>
      <c r="AX30">
        <v>0.98180690100000001</v>
      </c>
      <c r="AY30">
        <v>0.99037974399999995</v>
      </c>
      <c r="BA30">
        <v>0.93031345899999995</v>
      </c>
      <c r="BB30">
        <v>0.92217559000000004</v>
      </c>
      <c r="BD30">
        <v>1.198314949</v>
      </c>
      <c r="BE30">
        <v>1.15549565</v>
      </c>
      <c r="BG30">
        <v>0.94081844199999998</v>
      </c>
      <c r="BH30">
        <v>0.950476985</v>
      </c>
      <c r="BJ30">
        <v>0.84905536100000001</v>
      </c>
      <c r="BK30">
        <v>0.97858555199999997</v>
      </c>
      <c r="BM30">
        <v>1.11157744</v>
      </c>
      <c r="BN30">
        <v>1.0291613230000001</v>
      </c>
      <c r="BP30">
        <v>1.096408625</v>
      </c>
      <c r="BQ30">
        <v>1.025692246</v>
      </c>
      <c r="BS30">
        <v>0.88834579899999999</v>
      </c>
      <c r="BT30">
        <v>1.0386534140000001</v>
      </c>
    </row>
    <row r="31" spans="1:73">
      <c r="A31" t="s">
        <v>54</v>
      </c>
      <c r="B31">
        <v>1.1690466390000001</v>
      </c>
      <c r="C31">
        <v>1.143791542</v>
      </c>
      <c r="E31">
        <v>0.97693146200000003</v>
      </c>
      <c r="F31">
        <v>0.85698233800000001</v>
      </c>
      <c r="H31">
        <v>1.106106985</v>
      </c>
      <c r="I31">
        <v>0.92843266700000004</v>
      </c>
      <c r="K31">
        <v>1.0040077810000001</v>
      </c>
      <c r="L31">
        <v>1.0541856620000001</v>
      </c>
      <c r="N31">
        <v>1.015569414</v>
      </c>
      <c r="O31">
        <v>0.96368205600000001</v>
      </c>
      <c r="Q31">
        <v>0.87138568500000002</v>
      </c>
      <c r="R31">
        <v>1.0077976980000001</v>
      </c>
      <c r="T31">
        <v>1.188916791</v>
      </c>
      <c r="U31">
        <v>1.245267678</v>
      </c>
      <c r="W31">
        <v>0.98808167300000005</v>
      </c>
      <c r="X31">
        <v>1.013099567</v>
      </c>
      <c r="Z31">
        <v>0.96836097799999998</v>
      </c>
      <c r="AA31">
        <v>1.083758279</v>
      </c>
      <c r="AC31">
        <v>1.019699731</v>
      </c>
      <c r="AD31">
        <v>1.10502199</v>
      </c>
      <c r="AF31">
        <v>1.0290049969999999</v>
      </c>
      <c r="AG31">
        <v>0.93679369400000001</v>
      </c>
      <c r="AI31">
        <v>0.456155278</v>
      </c>
      <c r="AJ31">
        <v>0.64617257800000005</v>
      </c>
      <c r="AL31">
        <v>0.90276877200000005</v>
      </c>
      <c r="AM31">
        <v>0.90377032000000002</v>
      </c>
      <c r="AO31">
        <v>0.86457529799999999</v>
      </c>
      <c r="AP31">
        <v>0.90468880100000004</v>
      </c>
      <c r="AR31">
        <v>0.94999013600000004</v>
      </c>
      <c r="AS31">
        <v>1.002276892</v>
      </c>
      <c r="AU31">
        <v>0.85074289199999997</v>
      </c>
      <c r="AV31">
        <v>0.89662930600000001</v>
      </c>
      <c r="AX31">
        <v>0.96450466700000004</v>
      </c>
      <c r="AY31">
        <v>1.0017096050000001</v>
      </c>
      <c r="BA31">
        <v>1.086672053</v>
      </c>
      <c r="BB31">
        <v>1.0545053600000001</v>
      </c>
      <c r="BD31">
        <v>1.1551800219999999</v>
      </c>
      <c r="BE31">
        <v>1.230746688</v>
      </c>
      <c r="BG31">
        <v>0.85559234100000003</v>
      </c>
      <c r="BH31">
        <v>0.95736130500000005</v>
      </c>
      <c r="BJ31">
        <v>1.183382411</v>
      </c>
      <c r="BK31">
        <v>1.3083705889999999</v>
      </c>
      <c r="BM31">
        <v>1.099721097</v>
      </c>
      <c r="BN31">
        <v>0.97387079899999995</v>
      </c>
      <c r="BP31">
        <v>1.1801803719999999</v>
      </c>
      <c r="BQ31">
        <v>1.125896078</v>
      </c>
      <c r="BS31">
        <v>0.86569806900000001</v>
      </c>
      <c r="BT31">
        <v>0.74797525799999998</v>
      </c>
    </row>
    <row r="32" spans="1:73">
      <c r="A32" t="s">
        <v>55</v>
      </c>
      <c r="B32">
        <v>1.0945942829999999</v>
      </c>
      <c r="C32">
        <v>1.1715241279999999</v>
      </c>
      <c r="E32">
        <v>0.87569259399999999</v>
      </c>
      <c r="F32">
        <v>0.83369981800000004</v>
      </c>
      <c r="H32">
        <v>0.96640315499999996</v>
      </c>
      <c r="I32">
        <v>0.95859933200000003</v>
      </c>
      <c r="K32">
        <v>0.81715502299999998</v>
      </c>
      <c r="L32">
        <v>0.76215456199999998</v>
      </c>
      <c r="N32">
        <v>1.1926654169999999</v>
      </c>
      <c r="O32">
        <v>1.0086067990000001</v>
      </c>
      <c r="Q32">
        <v>1.0381975880000001</v>
      </c>
      <c r="R32">
        <v>1.1142555949999999</v>
      </c>
      <c r="T32">
        <v>0.99422497399999998</v>
      </c>
      <c r="U32">
        <v>0.929871958</v>
      </c>
      <c r="W32">
        <v>0.95273117200000002</v>
      </c>
      <c r="X32">
        <v>0.90203087400000004</v>
      </c>
      <c r="Z32">
        <v>1.08219686</v>
      </c>
      <c r="AA32">
        <v>1.17452796</v>
      </c>
      <c r="AC32">
        <v>1.014867242</v>
      </c>
      <c r="AD32">
        <v>1.159110868</v>
      </c>
      <c r="AF32">
        <v>1.0158181239999999</v>
      </c>
      <c r="AG32">
        <v>1.057740752</v>
      </c>
      <c r="AI32">
        <v>0.90283867600000001</v>
      </c>
      <c r="AJ32">
        <v>0.92271171200000002</v>
      </c>
      <c r="AL32">
        <v>0.466390676</v>
      </c>
      <c r="AM32">
        <v>0.47757917999999999</v>
      </c>
      <c r="AO32">
        <v>0.82234333000000004</v>
      </c>
      <c r="AP32">
        <v>0.86975493599999998</v>
      </c>
      <c r="AR32">
        <v>1.0137224739999999</v>
      </c>
      <c r="AS32">
        <v>1.0327627029999999</v>
      </c>
      <c r="AU32">
        <v>0.88120036199999996</v>
      </c>
      <c r="AV32">
        <v>0.95569488599999997</v>
      </c>
      <c r="AX32">
        <v>0.93685546399999997</v>
      </c>
      <c r="AY32">
        <v>1.0265705759999999</v>
      </c>
      <c r="BA32">
        <v>1.2178788679999999</v>
      </c>
      <c r="BB32">
        <v>1.236716919</v>
      </c>
      <c r="BD32">
        <v>1.181714261</v>
      </c>
      <c r="BE32">
        <v>1.1689578860000001</v>
      </c>
      <c r="BG32">
        <v>0.85369355300000005</v>
      </c>
      <c r="BH32">
        <v>0.91366944999999999</v>
      </c>
      <c r="BJ32">
        <v>1.028747815</v>
      </c>
      <c r="BK32">
        <v>1.1968914310000001</v>
      </c>
      <c r="BM32">
        <v>1.226031028</v>
      </c>
      <c r="BN32">
        <v>1.106784065</v>
      </c>
      <c r="BP32">
        <v>1.06615836</v>
      </c>
      <c r="BQ32">
        <v>1.0521495759999999</v>
      </c>
      <c r="BS32">
        <v>0.95235123899999996</v>
      </c>
      <c r="BT32">
        <v>1.0242814979999999</v>
      </c>
    </row>
    <row r="33" spans="1:72">
      <c r="A33" t="s">
        <v>56</v>
      </c>
      <c r="B33">
        <v>1.1623087299999999</v>
      </c>
      <c r="C33">
        <v>1.235778268</v>
      </c>
      <c r="E33">
        <v>1.0408962310000001</v>
      </c>
      <c r="F33">
        <v>0.86819524599999998</v>
      </c>
      <c r="H33">
        <v>1.018972338</v>
      </c>
      <c r="I33">
        <v>0.90546786300000004</v>
      </c>
      <c r="K33">
        <v>0.93440916799999996</v>
      </c>
      <c r="L33">
        <v>0.92321947299999996</v>
      </c>
      <c r="N33">
        <v>1.079333009</v>
      </c>
      <c r="O33">
        <v>0.94244686799999999</v>
      </c>
      <c r="Q33">
        <v>0.94223921399999999</v>
      </c>
      <c r="R33">
        <v>1.1058563480000001</v>
      </c>
      <c r="T33">
        <v>1.0856722729999999</v>
      </c>
      <c r="U33">
        <v>1.0802142699999999</v>
      </c>
      <c r="W33">
        <v>0.89379190399999997</v>
      </c>
      <c r="X33">
        <v>0.81181092300000002</v>
      </c>
      <c r="Z33">
        <v>0.84868924999999995</v>
      </c>
      <c r="AA33">
        <v>1.00573804</v>
      </c>
      <c r="AC33">
        <v>1.165253592</v>
      </c>
      <c r="AD33">
        <v>1.2721448660000001</v>
      </c>
      <c r="AF33">
        <v>1.0907355780000001</v>
      </c>
      <c r="AG33">
        <v>0.98565977699999996</v>
      </c>
      <c r="AI33">
        <v>0.75208160999999996</v>
      </c>
      <c r="AJ33">
        <v>0.85378449199999995</v>
      </c>
      <c r="AL33">
        <v>0.87715902899999998</v>
      </c>
      <c r="AM33">
        <v>0.74137900400000001</v>
      </c>
      <c r="AO33">
        <v>0.464779412</v>
      </c>
      <c r="AP33">
        <v>0.48980062200000002</v>
      </c>
      <c r="AR33">
        <v>0.86136316700000004</v>
      </c>
      <c r="AS33">
        <v>0.99891250600000003</v>
      </c>
      <c r="AU33">
        <v>0.82047927600000004</v>
      </c>
      <c r="AV33">
        <v>0.85916367699999996</v>
      </c>
      <c r="AX33">
        <v>0.83844810599999997</v>
      </c>
      <c r="AY33">
        <v>0.85179707999999998</v>
      </c>
      <c r="BA33">
        <v>1.1945337680000001</v>
      </c>
      <c r="BB33">
        <v>1.167161213</v>
      </c>
      <c r="BD33">
        <v>1.248959607</v>
      </c>
      <c r="BE33">
        <v>1.2311188040000001</v>
      </c>
      <c r="BG33">
        <v>0.80432823099999995</v>
      </c>
      <c r="BH33">
        <v>0.895252096</v>
      </c>
      <c r="BJ33">
        <v>1.0937794759999999</v>
      </c>
      <c r="BK33">
        <v>1.3153640900000001</v>
      </c>
      <c r="BM33">
        <v>1.0052926639999999</v>
      </c>
      <c r="BN33">
        <v>1.107975938</v>
      </c>
      <c r="BP33">
        <v>1.171806122</v>
      </c>
      <c r="BQ33">
        <v>1.185770513</v>
      </c>
      <c r="BS33">
        <v>0.93505966500000004</v>
      </c>
      <c r="BT33">
        <v>0.81199082499999997</v>
      </c>
    </row>
    <row r="34" spans="1:72">
      <c r="A34" t="s">
        <v>57</v>
      </c>
      <c r="B34">
        <v>1.1204825869999999</v>
      </c>
      <c r="C34">
        <v>1.202447327</v>
      </c>
      <c r="E34">
        <v>1.1258110889999999</v>
      </c>
      <c r="F34">
        <v>0.90209598000000002</v>
      </c>
      <c r="H34">
        <v>1.014259534</v>
      </c>
      <c r="I34">
        <v>0.93505852099999998</v>
      </c>
      <c r="K34">
        <v>0.99474930299999997</v>
      </c>
      <c r="L34">
        <v>0.96056629100000002</v>
      </c>
      <c r="N34">
        <v>1.113493431</v>
      </c>
      <c r="O34">
        <v>0.93668601399999996</v>
      </c>
      <c r="Q34">
        <v>1.146151725</v>
      </c>
      <c r="R34">
        <v>1.174127438</v>
      </c>
      <c r="T34">
        <v>0.96747456799999998</v>
      </c>
      <c r="U34">
        <v>1.080653514</v>
      </c>
      <c r="W34">
        <v>0.91909458700000002</v>
      </c>
      <c r="X34">
        <v>0.81136682299999996</v>
      </c>
      <c r="Z34">
        <v>0.87487959599999998</v>
      </c>
      <c r="AA34">
        <v>0.83998342699999995</v>
      </c>
      <c r="AC34">
        <v>1.0757086709999999</v>
      </c>
      <c r="AD34">
        <v>1.0990314919999999</v>
      </c>
      <c r="AF34">
        <v>0.96044837699999996</v>
      </c>
      <c r="AG34">
        <v>0.94512426599999999</v>
      </c>
      <c r="AI34">
        <v>0.89032623899999996</v>
      </c>
      <c r="AJ34">
        <v>1.003886082</v>
      </c>
      <c r="AL34">
        <v>1.012471122</v>
      </c>
      <c r="AM34">
        <v>0.888030494</v>
      </c>
      <c r="AO34">
        <v>0.85124693900000004</v>
      </c>
      <c r="AP34">
        <v>0.83697983499999995</v>
      </c>
      <c r="AR34">
        <v>0.52388744399999998</v>
      </c>
      <c r="AS34">
        <v>0.59870357299999999</v>
      </c>
      <c r="AU34">
        <v>0.96750617800000005</v>
      </c>
      <c r="AV34">
        <v>0.92432830600000004</v>
      </c>
      <c r="AX34">
        <v>0.98159660100000001</v>
      </c>
      <c r="AY34">
        <v>0.90657020899999996</v>
      </c>
      <c r="BA34">
        <v>0.99880646100000003</v>
      </c>
      <c r="BB34">
        <v>0.97389699100000005</v>
      </c>
      <c r="BD34">
        <v>1.143108639</v>
      </c>
      <c r="BE34">
        <v>1.1535582929999999</v>
      </c>
      <c r="BG34">
        <v>0.80877127000000004</v>
      </c>
      <c r="BH34">
        <v>0.86798619399999999</v>
      </c>
      <c r="BJ34">
        <v>0.88548631499999997</v>
      </c>
      <c r="BK34">
        <v>1.145098811</v>
      </c>
      <c r="BM34">
        <v>1.0887163390000001</v>
      </c>
      <c r="BN34">
        <v>1.072325285</v>
      </c>
      <c r="BP34">
        <v>1.18462216</v>
      </c>
      <c r="BQ34">
        <v>1.159825734</v>
      </c>
      <c r="BS34">
        <v>0.95807561799999996</v>
      </c>
      <c r="BT34">
        <v>0.90262214100000004</v>
      </c>
    </row>
    <row r="35" spans="1:72">
      <c r="A35" t="s">
        <v>58</v>
      </c>
      <c r="B35">
        <v>1.0740244510000001</v>
      </c>
      <c r="C35">
        <v>1.0240814060000001</v>
      </c>
      <c r="E35">
        <v>1.0560996709999999</v>
      </c>
      <c r="F35">
        <v>1.008258882</v>
      </c>
      <c r="H35">
        <v>0.92539576199999996</v>
      </c>
      <c r="I35">
        <v>0.93924800799999997</v>
      </c>
      <c r="K35">
        <v>0.95713269899999998</v>
      </c>
      <c r="L35">
        <v>0.92712764700000005</v>
      </c>
      <c r="N35">
        <v>1.118607677</v>
      </c>
      <c r="O35">
        <v>1.0556043150000001</v>
      </c>
      <c r="Q35">
        <v>1.0569823780000001</v>
      </c>
      <c r="R35">
        <v>1.0923829890000001</v>
      </c>
      <c r="T35">
        <v>0.951048059</v>
      </c>
      <c r="U35">
        <v>0.94791299799999995</v>
      </c>
      <c r="W35">
        <v>1.0138293279999999</v>
      </c>
      <c r="X35">
        <v>1.0210752059999999</v>
      </c>
      <c r="Z35">
        <v>1.0138067230000001</v>
      </c>
      <c r="AA35">
        <v>1.1027524399999999</v>
      </c>
      <c r="AC35">
        <v>1.1721218950000001</v>
      </c>
      <c r="AD35">
        <v>1.174967887</v>
      </c>
      <c r="AF35">
        <v>1.0721119649999999</v>
      </c>
      <c r="AG35">
        <v>1.0697906260000001</v>
      </c>
      <c r="AI35">
        <v>0.98170874100000005</v>
      </c>
      <c r="AJ35">
        <v>0.93698622300000001</v>
      </c>
      <c r="AL35">
        <v>0.998956124</v>
      </c>
      <c r="AM35">
        <v>0.89292391599999998</v>
      </c>
      <c r="AO35">
        <v>0.96261645699999998</v>
      </c>
      <c r="AP35">
        <v>0.94419689200000001</v>
      </c>
      <c r="AR35">
        <v>1.0539989809999999</v>
      </c>
      <c r="AS35">
        <v>1.0307824510000001</v>
      </c>
      <c r="AU35">
        <v>0.50282268500000005</v>
      </c>
      <c r="AV35">
        <v>0.72695333100000004</v>
      </c>
      <c r="AX35">
        <v>0.83740780299999995</v>
      </c>
      <c r="AY35">
        <v>0.861739845</v>
      </c>
      <c r="BA35">
        <v>1.0808545249999999</v>
      </c>
      <c r="BB35">
        <v>1.10624031</v>
      </c>
      <c r="BD35">
        <v>1.097273175</v>
      </c>
      <c r="BE35">
        <v>1.093390579</v>
      </c>
      <c r="BG35">
        <v>0.89209762299999995</v>
      </c>
      <c r="BH35">
        <v>0.97438232199999997</v>
      </c>
      <c r="BJ35">
        <v>1.126222265</v>
      </c>
      <c r="BK35">
        <v>1.2194877989999999</v>
      </c>
      <c r="BM35">
        <v>1.0601435079999999</v>
      </c>
      <c r="BN35">
        <v>1.1576524239999999</v>
      </c>
      <c r="BP35">
        <v>1.0864587379999999</v>
      </c>
      <c r="BQ35">
        <v>1.056114762</v>
      </c>
      <c r="BS35">
        <v>1.034444769</v>
      </c>
      <c r="BT35">
        <v>0.923906844</v>
      </c>
    </row>
    <row r="36" spans="1:72">
      <c r="A36" t="s">
        <v>59</v>
      </c>
      <c r="B36">
        <v>0.92544573100000005</v>
      </c>
      <c r="C36">
        <v>0.93752840000000004</v>
      </c>
      <c r="E36">
        <v>1.02740079</v>
      </c>
      <c r="F36">
        <v>1.028621271</v>
      </c>
      <c r="H36">
        <v>0.97188326000000003</v>
      </c>
      <c r="I36">
        <v>1.1327602349999999</v>
      </c>
      <c r="K36">
        <v>1.0412260179999999</v>
      </c>
      <c r="L36">
        <v>0.98720569000000002</v>
      </c>
      <c r="N36">
        <v>1.108587897</v>
      </c>
      <c r="O36">
        <v>1.1056632319999999</v>
      </c>
      <c r="Q36">
        <v>1.101832173</v>
      </c>
      <c r="R36">
        <v>1.1044794920000001</v>
      </c>
      <c r="T36">
        <v>0.825133687</v>
      </c>
      <c r="U36">
        <v>0.85104755600000004</v>
      </c>
      <c r="W36">
        <v>0.94574008799999998</v>
      </c>
      <c r="X36">
        <v>0.979551756</v>
      </c>
      <c r="Z36">
        <v>1.0452661830000001</v>
      </c>
      <c r="AA36">
        <v>0.985977514</v>
      </c>
      <c r="AC36">
        <v>0.98512185799999996</v>
      </c>
      <c r="AD36">
        <v>0.96663595199999996</v>
      </c>
      <c r="AF36">
        <v>0.92268539800000005</v>
      </c>
      <c r="AG36">
        <v>1.008580657</v>
      </c>
      <c r="AI36">
        <v>0.99990600100000004</v>
      </c>
      <c r="AJ36">
        <v>1.0074409440000001</v>
      </c>
      <c r="AL36">
        <v>1.0299292529999999</v>
      </c>
      <c r="AM36">
        <v>0.98301889799999997</v>
      </c>
      <c r="AO36">
        <v>1.0013749219999999</v>
      </c>
      <c r="AP36">
        <v>0.99678529299999996</v>
      </c>
      <c r="AR36">
        <v>1.0583483330000001</v>
      </c>
      <c r="AS36">
        <v>0.98827117099999995</v>
      </c>
      <c r="AU36">
        <v>0.94077948199999994</v>
      </c>
      <c r="AV36">
        <v>0.99182904299999997</v>
      </c>
      <c r="AX36">
        <v>0.508631053</v>
      </c>
      <c r="AY36">
        <v>0.62196271800000003</v>
      </c>
      <c r="BA36">
        <v>0.92701510499999995</v>
      </c>
      <c r="BB36">
        <v>0.96885675800000004</v>
      </c>
      <c r="BD36">
        <v>0.92211739100000001</v>
      </c>
      <c r="BE36">
        <v>0.96189542500000003</v>
      </c>
      <c r="BG36">
        <v>0.99705049800000001</v>
      </c>
      <c r="BH36">
        <v>1.0537886679999999</v>
      </c>
      <c r="BJ36">
        <v>0.97448918299999998</v>
      </c>
      <c r="BK36">
        <v>1.0381718209999999</v>
      </c>
      <c r="BM36">
        <v>1.0792229019999999</v>
      </c>
      <c r="BN36">
        <v>1.0071339349999999</v>
      </c>
      <c r="BP36">
        <v>0.97580062400000001</v>
      </c>
      <c r="BQ36">
        <v>1.010432781</v>
      </c>
      <c r="BS36">
        <v>0.98656763300000005</v>
      </c>
      <c r="BT36">
        <v>0.98675527100000004</v>
      </c>
    </row>
    <row r="37" spans="1:72">
      <c r="A37" t="s">
        <v>60</v>
      </c>
      <c r="B37">
        <v>0.97226934700000001</v>
      </c>
      <c r="C37">
        <v>0.86643261100000002</v>
      </c>
      <c r="E37">
        <v>1.1783751490000001</v>
      </c>
      <c r="F37">
        <v>1.202357922</v>
      </c>
      <c r="H37">
        <v>1.038841967</v>
      </c>
      <c r="I37">
        <v>1.087467669</v>
      </c>
      <c r="K37">
        <v>1.184007421</v>
      </c>
      <c r="L37">
        <v>1.193325355</v>
      </c>
      <c r="N37">
        <v>0.92102908299999997</v>
      </c>
      <c r="O37">
        <v>1.0929043110000001</v>
      </c>
      <c r="Q37">
        <v>1.0322321489999999</v>
      </c>
      <c r="R37">
        <v>0.90827709499999998</v>
      </c>
      <c r="T37">
        <v>0.86033804000000003</v>
      </c>
      <c r="U37">
        <v>1.042679473</v>
      </c>
      <c r="W37">
        <v>1.0705823350000001</v>
      </c>
      <c r="X37">
        <v>1.099248019</v>
      </c>
      <c r="Z37">
        <v>0.946784195</v>
      </c>
      <c r="AA37">
        <v>0.85149768400000003</v>
      </c>
      <c r="AC37">
        <v>0.91180165999999996</v>
      </c>
      <c r="AD37">
        <v>0.751224526</v>
      </c>
      <c r="AF37">
        <v>0.99573482400000002</v>
      </c>
      <c r="AG37">
        <v>0.99373868899999995</v>
      </c>
      <c r="AI37">
        <v>1.1414564359999999</v>
      </c>
      <c r="AJ37">
        <v>1.1498069049999999</v>
      </c>
      <c r="AL37">
        <v>1.2642106849999999</v>
      </c>
      <c r="AM37">
        <v>1.2501600420000001</v>
      </c>
      <c r="AO37">
        <v>1.2747493510000001</v>
      </c>
      <c r="AP37">
        <v>1.184532766</v>
      </c>
      <c r="AR37">
        <v>1.0336525249999999</v>
      </c>
      <c r="AS37">
        <v>0.89769214200000003</v>
      </c>
      <c r="AU37">
        <v>1.086319306</v>
      </c>
      <c r="AV37">
        <v>1.0393561739999999</v>
      </c>
      <c r="AX37">
        <v>1.053165972</v>
      </c>
      <c r="AY37">
        <v>1.0363347869999999</v>
      </c>
      <c r="BA37">
        <v>0.62137847999999996</v>
      </c>
      <c r="BB37">
        <v>0.57052760599999996</v>
      </c>
      <c r="BD37">
        <v>0.85032772199999995</v>
      </c>
      <c r="BE37">
        <v>0.94269779499999995</v>
      </c>
      <c r="BG37">
        <v>1.109777566</v>
      </c>
      <c r="BH37">
        <v>1.03307741</v>
      </c>
      <c r="BJ37">
        <v>0.95090820799999998</v>
      </c>
      <c r="BK37">
        <v>0.81974607499999996</v>
      </c>
      <c r="BM37">
        <v>0.89548071600000001</v>
      </c>
      <c r="BN37">
        <v>1.029777105</v>
      </c>
      <c r="BP37">
        <v>0.97204506599999996</v>
      </c>
      <c r="BQ37">
        <v>0.92312224099999995</v>
      </c>
      <c r="BS37">
        <v>1.099644319</v>
      </c>
      <c r="BT37">
        <v>1.1534452470000001</v>
      </c>
    </row>
    <row r="38" spans="1:72">
      <c r="A38" t="s">
        <v>61</v>
      </c>
      <c r="B38">
        <v>0.89166493300000005</v>
      </c>
      <c r="C38">
        <v>0.72558933000000003</v>
      </c>
      <c r="E38">
        <v>0.99045878399999998</v>
      </c>
      <c r="F38">
        <v>1.1063745819999999</v>
      </c>
      <c r="H38">
        <v>1.082946959</v>
      </c>
      <c r="I38">
        <v>1.2190854099999999</v>
      </c>
      <c r="K38">
        <v>1.07470165</v>
      </c>
      <c r="L38">
        <v>1.075628746</v>
      </c>
      <c r="N38">
        <v>0.93105055199999998</v>
      </c>
      <c r="O38">
        <v>1.1212232879999999</v>
      </c>
      <c r="Q38">
        <v>1.0168622190000001</v>
      </c>
      <c r="R38">
        <v>0.95093353999999997</v>
      </c>
      <c r="T38">
        <v>0.749382039</v>
      </c>
      <c r="U38">
        <v>0.87032022399999998</v>
      </c>
      <c r="W38">
        <v>0.986931644</v>
      </c>
      <c r="X38">
        <v>1.0477048739999999</v>
      </c>
      <c r="Z38">
        <v>1.134278074</v>
      </c>
      <c r="AA38">
        <v>1.0695944230000001</v>
      </c>
      <c r="AC38">
        <v>0.97534791700000001</v>
      </c>
      <c r="AD38">
        <v>0.78767084300000001</v>
      </c>
      <c r="AF38">
        <v>0.99781302599999999</v>
      </c>
      <c r="AG38">
        <v>1.0856267020000001</v>
      </c>
      <c r="AI38">
        <v>1.1690091069999999</v>
      </c>
      <c r="AJ38">
        <v>1.0787705519999999</v>
      </c>
      <c r="AL38">
        <v>1.020467112</v>
      </c>
      <c r="AM38">
        <v>1.108742466</v>
      </c>
      <c r="AO38">
        <v>1.104459104</v>
      </c>
      <c r="AP38">
        <v>1.117708156</v>
      </c>
      <c r="AR38">
        <v>1.0781080709999999</v>
      </c>
      <c r="AS38">
        <v>0.94593584900000005</v>
      </c>
      <c r="AU38">
        <v>1.14414207</v>
      </c>
      <c r="AV38">
        <v>1.074682455</v>
      </c>
      <c r="AX38">
        <v>0.97010854499999999</v>
      </c>
      <c r="AY38">
        <v>1.066879183</v>
      </c>
      <c r="BA38">
        <v>1.0523067820000001</v>
      </c>
      <c r="BB38">
        <v>1.0443751560000001</v>
      </c>
      <c r="BD38">
        <v>0.342189623</v>
      </c>
      <c r="BE38">
        <v>0.48236015300000001</v>
      </c>
      <c r="BG38">
        <v>1.0813014379999999</v>
      </c>
      <c r="BH38">
        <v>1.111403272</v>
      </c>
      <c r="BJ38">
        <v>0.87781405099999998</v>
      </c>
      <c r="BK38">
        <v>0.78665254299999998</v>
      </c>
      <c r="BM38">
        <v>0.91876434299999998</v>
      </c>
      <c r="BN38">
        <v>0.94410495900000002</v>
      </c>
      <c r="BP38">
        <v>0.78056191100000005</v>
      </c>
      <c r="BQ38">
        <v>0.88266583499999995</v>
      </c>
      <c r="BS38">
        <v>1.1025341790000001</v>
      </c>
      <c r="BT38">
        <v>1.136278795</v>
      </c>
    </row>
    <row r="39" spans="1:72">
      <c r="A39" t="s">
        <v>62</v>
      </c>
      <c r="B39">
        <v>1.1532134060000001</v>
      </c>
      <c r="C39">
        <v>1.184674405</v>
      </c>
      <c r="E39">
        <v>0.90123569299999995</v>
      </c>
      <c r="F39">
        <v>0.83918947099999996</v>
      </c>
      <c r="H39">
        <v>1.041107172</v>
      </c>
      <c r="I39">
        <v>0.87655684300000003</v>
      </c>
      <c r="K39">
        <v>0.92917722899999999</v>
      </c>
      <c r="L39">
        <v>0.90813429099999998</v>
      </c>
      <c r="N39">
        <v>1.084222523</v>
      </c>
      <c r="O39">
        <v>0.94228691099999995</v>
      </c>
      <c r="Q39">
        <v>0.99707869800000004</v>
      </c>
      <c r="R39">
        <v>1.118824644</v>
      </c>
      <c r="T39">
        <v>1.0434982960000001</v>
      </c>
      <c r="U39">
        <v>1.124029468</v>
      </c>
      <c r="W39">
        <v>0.99282117599999997</v>
      </c>
      <c r="X39">
        <v>0.93898110800000001</v>
      </c>
      <c r="Z39">
        <v>0.95822434000000001</v>
      </c>
      <c r="AA39">
        <v>1.060177844</v>
      </c>
      <c r="AC39">
        <v>1.146939164</v>
      </c>
      <c r="AD39">
        <v>1.2318867099999999</v>
      </c>
      <c r="AF39">
        <v>1.0207063380000001</v>
      </c>
      <c r="AG39">
        <v>0.93005665599999998</v>
      </c>
      <c r="AI39">
        <v>0.706156966</v>
      </c>
      <c r="AJ39">
        <v>0.86214449900000001</v>
      </c>
      <c r="AL39">
        <v>0.84387859200000004</v>
      </c>
      <c r="AM39">
        <v>0.71453685199999994</v>
      </c>
      <c r="AO39">
        <v>0.78151980799999998</v>
      </c>
      <c r="AP39">
        <v>0.80796698</v>
      </c>
      <c r="AR39">
        <v>0.92675467199999995</v>
      </c>
      <c r="AS39">
        <v>0.98950759300000002</v>
      </c>
      <c r="AU39">
        <v>0.85506875100000002</v>
      </c>
      <c r="AV39">
        <v>0.83313677900000005</v>
      </c>
      <c r="AX39">
        <v>0.98421588199999999</v>
      </c>
      <c r="AY39">
        <v>0.99375751999999995</v>
      </c>
      <c r="BA39">
        <v>1.1329141949999999</v>
      </c>
      <c r="BB39">
        <v>1.147095333</v>
      </c>
      <c r="BD39">
        <v>1.22943154</v>
      </c>
      <c r="BE39">
        <v>1.2474421600000001</v>
      </c>
      <c r="BG39">
        <v>0.50397183099999998</v>
      </c>
      <c r="BH39">
        <v>0.59529025199999996</v>
      </c>
      <c r="BJ39">
        <v>1.1201387009999999</v>
      </c>
      <c r="BK39">
        <v>1.313203068</v>
      </c>
      <c r="BM39">
        <v>1.106743711</v>
      </c>
      <c r="BN39">
        <v>1.0811239029999999</v>
      </c>
      <c r="BP39">
        <v>1.2018523210000001</v>
      </c>
      <c r="BQ39">
        <v>1.1575969349999999</v>
      </c>
      <c r="BS39">
        <v>0.90134209600000004</v>
      </c>
      <c r="BT39">
        <v>0.84407508399999998</v>
      </c>
    </row>
    <row r="40" spans="1:72">
      <c r="A40" t="s">
        <v>63</v>
      </c>
      <c r="B40">
        <v>0.84874166799999995</v>
      </c>
      <c r="C40">
        <v>0.99992307800000002</v>
      </c>
      <c r="E40">
        <v>1.1442096980000001</v>
      </c>
      <c r="F40">
        <v>1.0765587999999999</v>
      </c>
      <c r="H40">
        <v>0.89188729600000005</v>
      </c>
      <c r="I40">
        <v>1.1289198250000001</v>
      </c>
      <c r="K40">
        <v>1.0394596009999999</v>
      </c>
      <c r="L40">
        <v>0.929118</v>
      </c>
      <c r="N40">
        <v>1.177153109</v>
      </c>
      <c r="O40">
        <v>1.0160181699999999</v>
      </c>
      <c r="Q40">
        <v>1.300165217</v>
      </c>
      <c r="R40">
        <v>1.197789969</v>
      </c>
      <c r="T40">
        <v>0.73613402100000003</v>
      </c>
      <c r="U40">
        <v>0.76621387699999999</v>
      </c>
      <c r="W40">
        <v>0.89165455500000002</v>
      </c>
      <c r="X40">
        <v>0.82685912399999995</v>
      </c>
      <c r="Z40">
        <v>0.94990551400000001</v>
      </c>
      <c r="AA40">
        <v>0.73333148800000003</v>
      </c>
      <c r="AC40">
        <v>0.81030175400000004</v>
      </c>
      <c r="AD40">
        <v>0.78540599600000005</v>
      </c>
      <c r="AF40">
        <v>0.88023045600000005</v>
      </c>
      <c r="AG40">
        <v>0.93483800100000003</v>
      </c>
      <c r="AI40">
        <v>1.1898698860000001</v>
      </c>
      <c r="AJ40">
        <v>1.162996175</v>
      </c>
      <c r="AL40">
        <v>1.0385068340000001</v>
      </c>
      <c r="AM40">
        <v>1.0569083889999999</v>
      </c>
      <c r="AO40">
        <v>1.099573049</v>
      </c>
      <c r="AP40">
        <v>1.0368478590000001</v>
      </c>
      <c r="AR40">
        <v>0.878527791</v>
      </c>
      <c r="AS40">
        <v>0.89794602099999998</v>
      </c>
      <c r="AU40">
        <v>1.106332724</v>
      </c>
      <c r="AV40">
        <v>1.0866123750000001</v>
      </c>
      <c r="AX40">
        <v>0.91997959799999995</v>
      </c>
      <c r="AY40">
        <v>0.84387542400000004</v>
      </c>
      <c r="BA40">
        <v>0.74092811800000002</v>
      </c>
      <c r="BB40">
        <v>0.81397504700000001</v>
      </c>
      <c r="BD40">
        <v>0.93487656299999999</v>
      </c>
      <c r="BE40">
        <v>0.93826478499999999</v>
      </c>
      <c r="BG40">
        <v>0.985202943</v>
      </c>
      <c r="BH40">
        <v>0.98843715899999995</v>
      </c>
      <c r="BJ40">
        <v>0.36003334199999998</v>
      </c>
      <c r="BK40">
        <v>0.66698180100000004</v>
      </c>
      <c r="BM40">
        <v>1.1277727200000001</v>
      </c>
      <c r="BN40">
        <v>0.99701462100000005</v>
      </c>
      <c r="BP40">
        <v>0.88726080399999996</v>
      </c>
      <c r="BQ40">
        <v>0.94720473699999996</v>
      </c>
      <c r="BS40">
        <v>0.91432192300000004</v>
      </c>
      <c r="BT40">
        <v>1.0979683929999999</v>
      </c>
    </row>
    <row r="41" spans="1:72">
      <c r="A41" t="s">
        <v>64</v>
      </c>
      <c r="B41">
        <v>0.90072290600000005</v>
      </c>
      <c r="C41">
        <v>0.83066409500000005</v>
      </c>
      <c r="E41">
        <v>0.87767566799999996</v>
      </c>
      <c r="F41">
        <v>1.0277027889999999</v>
      </c>
      <c r="H41">
        <v>1.19168305</v>
      </c>
      <c r="I41">
        <v>1.1622004159999999</v>
      </c>
      <c r="K41">
        <v>1.16090592</v>
      </c>
      <c r="L41">
        <v>1.270722447</v>
      </c>
      <c r="N41">
        <v>0.74316753300000005</v>
      </c>
      <c r="O41">
        <v>0.89628057500000002</v>
      </c>
      <c r="Q41">
        <v>0.62921459400000002</v>
      </c>
      <c r="R41">
        <v>0.64874448699999998</v>
      </c>
      <c r="T41">
        <v>1.1337784310000001</v>
      </c>
      <c r="U41">
        <v>1.2161040940000001</v>
      </c>
      <c r="W41">
        <v>1.0626687370000001</v>
      </c>
      <c r="X41">
        <v>1.1755834329999999</v>
      </c>
      <c r="Z41">
        <v>0.96958491000000002</v>
      </c>
      <c r="AA41">
        <v>1.046370604</v>
      </c>
      <c r="AC41">
        <v>0.94513930999999995</v>
      </c>
      <c r="AD41">
        <v>0.91023928799999998</v>
      </c>
      <c r="AF41">
        <v>1.015504768</v>
      </c>
      <c r="AG41">
        <v>0.96588947199999997</v>
      </c>
      <c r="AI41">
        <v>0.90665199600000002</v>
      </c>
      <c r="AJ41">
        <v>0.95398034899999995</v>
      </c>
      <c r="AL41">
        <v>1.10574598</v>
      </c>
      <c r="AM41">
        <v>1.1229434</v>
      </c>
      <c r="AO41">
        <v>1.1089259469999999</v>
      </c>
      <c r="AP41">
        <v>1.175600612</v>
      </c>
      <c r="AR41">
        <v>1.0747388950000001</v>
      </c>
      <c r="AS41">
        <v>1.0439307659999999</v>
      </c>
      <c r="AU41">
        <v>1.149318799</v>
      </c>
      <c r="AV41">
        <v>1.065575435</v>
      </c>
      <c r="AX41">
        <v>1.139507329</v>
      </c>
      <c r="AY41">
        <v>1.039405855</v>
      </c>
      <c r="BA41">
        <v>0.93233497799999998</v>
      </c>
      <c r="BB41">
        <v>0.96820381499999997</v>
      </c>
      <c r="BD41">
        <v>0.93403164000000005</v>
      </c>
      <c r="BE41">
        <v>0.90396156900000002</v>
      </c>
      <c r="BG41">
        <v>1.140215931</v>
      </c>
      <c r="BH41">
        <v>1.1042532810000001</v>
      </c>
      <c r="BJ41">
        <v>1.1720676759999999</v>
      </c>
      <c r="BK41">
        <v>0.98684460399999996</v>
      </c>
      <c r="BM41">
        <v>0.57193694500000003</v>
      </c>
      <c r="BN41">
        <v>0.47324170500000001</v>
      </c>
      <c r="BP41">
        <v>0.95910440699999999</v>
      </c>
      <c r="BQ41">
        <v>1.031874709</v>
      </c>
      <c r="BS41">
        <v>0.97981778799999997</v>
      </c>
      <c r="BT41">
        <v>1.045504596</v>
      </c>
    </row>
    <row r="42" spans="1:72">
      <c r="A42" t="s">
        <v>65</v>
      </c>
      <c r="B42">
        <v>0.75795443299999998</v>
      </c>
      <c r="C42">
        <v>0.74590643099999998</v>
      </c>
      <c r="E42">
        <v>1.0428555989999999</v>
      </c>
      <c r="F42">
        <v>1.114606539</v>
      </c>
      <c r="H42">
        <v>1.0339129579999999</v>
      </c>
      <c r="I42">
        <v>1.216635245</v>
      </c>
      <c r="K42">
        <v>1.0650109299999999</v>
      </c>
      <c r="L42">
        <v>1.0812399239999999</v>
      </c>
      <c r="N42">
        <v>1.0306928689999999</v>
      </c>
      <c r="O42">
        <v>1.1203311499999999</v>
      </c>
      <c r="Q42">
        <v>1.0739533269999999</v>
      </c>
      <c r="R42">
        <v>0.85888001800000002</v>
      </c>
      <c r="T42">
        <v>0.81136456800000001</v>
      </c>
      <c r="U42">
        <v>0.90497575600000002</v>
      </c>
      <c r="W42">
        <v>1.069741549</v>
      </c>
      <c r="X42">
        <v>1.042613901</v>
      </c>
      <c r="Z42">
        <v>1.108501049</v>
      </c>
      <c r="AA42">
        <v>1.0676768969999999</v>
      </c>
      <c r="AC42">
        <v>1.029521098</v>
      </c>
      <c r="AD42">
        <v>0.86539806399999997</v>
      </c>
      <c r="AF42">
        <v>1.0605586170000001</v>
      </c>
      <c r="AG42">
        <v>1.133311095</v>
      </c>
      <c r="AI42">
        <v>1.1988718410000001</v>
      </c>
      <c r="AJ42">
        <v>1.140435418</v>
      </c>
      <c r="AL42">
        <v>1.1080450129999999</v>
      </c>
      <c r="AM42">
        <v>1.1420297180000001</v>
      </c>
      <c r="AO42">
        <v>1.1362116440000001</v>
      </c>
      <c r="AP42">
        <v>1.157085208</v>
      </c>
      <c r="AR42">
        <v>1.0567929540000001</v>
      </c>
      <c r="AS42">
        <v>0.95106633299999999</v>
      </c>
      <c r="AU42">
        <v>1.0631987540000001</v>
      </c>
      <c r="AV42">
        <v>1.06338022</v>
      </c>
      <c r="AX42">
        <v>0.99651025900000001</v>
      </c>
      <c r="AY42">
        <v>1.021571067</v>
      </c>
      <c r="BA42">
        <v>1.0013039349999999</v>
      </c>
      <c r="BB42">
        <v>1.0636163329999999</v>
      </c>
      <c r="BD42">
        <v>0.71136649799999996</v>
      </c>
      <c r="BE42">
        <v>0.584076068</v>
      </c>
      <c r="BG42">
        <v>1.07068966</v>
      </c>
      <c r="BH42">
        <v>1.0902600330000001</v>
      </c>
      <c r="BJ42">
        <v>0.90461145700000001</v>
      </c>
      <c r="BK42">
        <v>0.79923133199999996</v>
      </c>
      <c r="BM42">
        <v>0.89911602000000002</v>
      </c>
      <c r="BN42">
        <v>0.95525262200000005</v>
      </c>
      <c r="BP42">
        <v>0.440577208</v>
      </c>
      <c r="BQ42">
        <v>0.58068405099999998</v>
      </c>
      <c r="BS42">
        <v>1.0581501339999999</v>
      </c>
      <c r="BT42">
        <v>1.1682827170000001</v>
      </c>
    </row>
    <row r="43" spans="1:72">
      <c r="A43" t="s">
        <v>66</v>
      </c>
      <c r="B43">
        <v>1.100394951</v>
      </c>
      <c r="C43">
        <v>1.147080664</v>
      </c>
      <c r="E43">
        <v>0.93163933700000001</v>
      </c>
      <c r="F43">
        <v>0.90099944300000001</v>
      </c>
      <c r="H43">
        <v>1.018318356</v>
      </c>
      <c r="I43">
        <v>0.81984890799999999</v>
      </c>
      <c r="K43">
        <v>0.99922422099999997</v>
      </c>
      <c r="L43">
        <v>1.0027925419999999</v>
      </c>
      <c r="N43">
        <v>1.0541797340000001</v>
      </c>
      <c r="O43">
        <v>0.99030234100000003</v>
      </c>
      <c r="Q43">
        <v>0.94448621899999996</v>
      </c>
      <c r="R43">
        <v>1.096864984</v>
      </c>
      <c r="T43">
        <v>1.0356261689999999</v>
      </c>
      <c r="U43">
        <v>1.020807552</v>
      </c>
      <c r="W43">
        <v>0.98587874600000003</v>
      </c>
      <c r="X43">
        <v>0.95607591599999997</v>
      </c>
      <c r="Z43">
        <v>0.90637519700000002</v>
      </c>
      <c r="AA43">
        <v>0.951772799</v>
      </c>
      <c r="AC43">
        <v>1.1738830709999999</v>
      </c>
      <c r="AD43">
        <v>1.2198508020000001</v>
      </c>
      <c r="AF43">
        <v>1.086986988</v>
      </c>
      <c r="AG43">
        <v>1.0190732410000001</v>
      </c>
      <c r="AI43">
        <v>0.78445993599999997</v>
      </c>
      <c r="AJ43">
        <v>0.82906697200000001</v>
      </c>
      <c r="AL43">
        <v>1.038364069</v>
      </c>
      <c r="AM43">
        <v>0.850431932</v>
      </c>
      <c r="AO43">
        <v>0.90877946700000001</v>
      </c>
      <c r="AP43">
        <v>0.83321011199999995</v>
      </c>
      <c r="AR43">
        <v>0.95250414299999997</v>
      </c>
      <c r="AS43">
        <v>0.98643218600000004</v>
      </c>
      <c r="AU43">
        <v>0.73627677700000005</v>
      </c>
      <c r="AV43">
        <v>0.87698601700000001</v>
      </c>
      <c r="AX43">
        <v>0.90608076299999996</v>
      </c>
      <c r="AY43">
        <v>0.873007435</v>
      </c>
      <c r="BA43">
        <v>1.1257633899999999</v>
      </c>
      <c r="BB43">
        <v>1.0689525980000001</v>
      </c>
      <c r="BD43">
        <v>1.1889389450000001</v>
      </c>
      <c r="BE43">
        <v>1.1277331370000001</v>
      </c>
      <c r="BG43">
        <v>0.87552837900000002</v>
      </c>
      <c r="BH43">
        <v>0.93149317200000004</v>
      </c>
      <c r="BJ43">
        <v>1.180944904</v>
      </c>
      <c r="BK43">
        <v>1.301078411</v>
      </c>
      <c r="BM43">
        <v>0.94193497599999998</v>
      </c>
      <c r="BN43">
        <v>1.0852621</v>
      </c>
      <c r="BP43">
        <v>1.121215066</v>
      </c>
      <c r="BQ43">
        <v>1.148886139</v>
      </c>
      <c r="BS43">
        <v>0.74954641099999997</v>
      </c>
      <c r="BT43">
        <v>0.53277731800000006</v>
      </c>
    </row>
    <row r="48" spans="1:72">
      <c r="G48" s="1">
        <f t="shared" ref="G48:G64" si="24">MIN(D3,G3,J3,M3,P3,S3,V3,Y3,AB3,AE3,AH3,AK3,AN3,AQ3,AT3,AW3,AZ3,BC3,BF3,BI3,BL3,BO3,BR3,BU3)</f>
        <v>0.83334322500000002</v>
      </c>
    </row>
    <row r="49" spans="7:9">
      <c r="G49" s="1">
        <f t="shared" si="24"/>
        <v>0.83425196800000001</v>
      </c>
    </row>
    <row r="50" spans="7:9">
      <c r="G50" s="1">
        <f t="shared" si="24"/>
        <v>0.73751956100000005</v>
      </c>
    </row>
    <row r="51" spans="7:9">
      <c r="G51" s="1">
        <f t="shared" si="24"/>
        <v>0.79560534699999996</v>
      </c>
    </row>
    <row r="52" spans="7:9">
      <c r="G52" s="1">
        <f t="shared" si="24"/>
        <v>0.73011768600000004</v>
      </c>
    </row>
    <row r="53" spans="7:9">
      <c r="G53" s="1">
        <f t="shared" si="24"/>
        <v>0.76723641799999998</v>
      </c>
    </row>
    <row r="54" spans="7:9">
      <c r="G54" s="1">
        <f t="shared" si="24"/>
        <v>0.88344992499999997</v>
      </c>
    </row>
    <row r="55" spans="7:9">
      <c r="G55" s="1">
        <f t="shared" si="24"/>
        <v>0.816677812</v>
      </c>
    </row>
    <row r="56" spans="7:9">
      <c r="G56" s="1">
        <f t="shared" si="24"/>
        <v>0.88697013300000005</v>
      </c>
    </row>
    <row r="57" spans="7:9">
      <c r="G57" s="1">
        <f t="shared" si="24"/>
        <v>0.86198942300000003</v>
      </c>
    </row>
    <row r="58" spans="7:9">
      <c r="G58" s="1">
        <f t="shared" si="24"/>
        <v>0.82793024699999995</v>
      </c>
    </row>
    <row r="59" spans="7:9">
      <c r="G59" s="1">
        <f t="shared" si="24"/>
        <v>0.91604048900000001</v>
      </c>
    </row>
    <row r="60" spans="7:9">
      <c r="G60" s="1">
        <f t="shared" si="24"/>
        <v>0.89438977099999994</v>
      </c>
    </row>
    <row r="61" spans="7:9">
      <c r="G61" s="1">
        <f t="shared" si="24"/>
        <v>0.93645421699999998</v>
      </c>
    </row>
    <row r="62" spans="7:9">
      <c r="G62" s="1">
        <f t="shared" si="24"/>
        <v>0.77438678100000002</v>
      </c>
      <c r="I62" s="3"/>
    </row>
    <row r="63" spans="7:9">
      <c r="G63" s="1">
        <f t="shared" si="24"/>
        <v>0.84849959699999999</v>
      </c>
      <c r="I63" s="3"/>
    </row>
    <row r="64" spans="7:9">
      <c r="G64" s="1">
        <f t="shared" si="24"/>
        <v>0.82700601500000004</v>
      </c>
      <c r="I64" s="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75A36-798E-4D88-81AF-B2CD56312C31}">
  <dimension ref="A1:A9"/>
  <sheetViews>
    <sheetView workbookViewId="0">
      <selection activeCell="A15" sqref="A15"/>
    </sheetView>
  </sheetViews>
  <sheetFormatPr defaultRowHeight="15"/>
  <cols>
    <col min="1" max="1" width="138.28515625" customWidth="1"/>
  </cols>
  <sheetData>
    <row r="1" spans="1:1">
      <c r="A1" t="s">
        <v>74</v>
      </c>
    </row>
    <row r="3" spans="1:1">
      <c r="A3" t="s">
        <v>67</v>
      </c>
    </row>
    <row r="5" spans="1:1">
      <c r="A5" s="5" t="s">
        <v>70</v>
      </c>
    </row>
    <row r="6" spans="1:1">
      <c r="A6" s="5"/>
    </row>
    <row r="7" spans="1:1">
      <c r="A7" t="s">
        <v>71</v>
      </c>
    </row>
    <row r="8" spans="1:1">
      <c r="A8" t="s">
        <v>72</v>
      </c>
    </row>
    <row r="9" spans="1:1">
      <c r="A9" t="s">
        <v>73</v>
      </c>
    </row>
  </sheetData>
  <pageMargins left="0.7" right="0.7" top="0.75" bottom="0.75" header="0.3" footer="0.3"/>
</worksheet>
</file>

<file path=docMetadata/LabelInfo.xml><?xml version="1.0" encoding="utf-8"?>
<clbl:labelList xmlns:clbl="http://schemas.microsoft.com/office/2020/mipLabelMetadata">
  <clbl:label id="{490a8197-7b83-4f10-89b9-83189be3835e}" enabled="0" method="" siteId="{490a8197-7b83-4f10-89b9-83189be3835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cosine_distance1000MFW</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Craig Johnson</cp:lastModifiedBy>
  <dcterms:created xsi:type="dcterms:W3CDTF">2025-07-28T07:34:53Z</dcterms:created>
  <dcterms:modified xsi:type="dcterms:W3CDTF">2025-07-31T07:49:45Z</dcterms:modified>
</cp:coreProperties>
</file>